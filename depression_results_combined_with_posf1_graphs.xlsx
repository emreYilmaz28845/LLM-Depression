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Results" sheetId="2" state="visible" r:id="rId2"/>
    <sheet name="joint" sheetId="3" state="visible" r:id="rId3"/>
    <sheet name="XGBoost Head" sheetId="4" state="visible" r:id="rId4"/>
    <sheet name="Turkish Oversampling" sheetId="5" state="visible" r:id="rId5"/>
    <sheet name="Turkish OS Comparison" sheetId="6" state="visible" r:id="rId6"/>
    <sheet name="Combined Results" sheetId="7" state="visible" r:id="rId7"/>
    <sheet name="DAIC PosF1 Graph" sheetId="8" state="visible" r:id="rId8"/>
    <sheet name="CMDC PosF1 Graph" sheetId="9" state="visible" r:id="rId9"/>
  </sheets>
  <definedNames>
    <definedName name="_xlnm._FilterDatabase" localSheetId="0" hidden="1">'Summary'!$A$5:$F$17</definedName>
    <definedName name="_xlnm.Print_Area" localSheetId="0">'Summary'!$A$1:$R$17</definedName>
    <definedName name="_xlnm._FilterDatabase" localSheetId="3" hidden="1">'XGBoost Head'!$A$1:$J$28</definedName>
    <definedName name="_xlnm._FilterDatabase" localSheetId="6" hidden="1">'Combined Results'!$A$4:$M$46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39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</fonts>
  <fills count="34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</borders>
  <cellStyleXfs count="1">
    <xf numFmtId="0" fontId="0" fillId="0" borderId="0"/>
  </cellStyleXfs>
  <cellXfs count="21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>
              <a:srgbClr val="FF4472C4"/>
            </a:solidFill>
            <a:ln>
              <a:solidFill>
                <a:srgbClr val="FF4472C4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'Summary'!$B$6:$B$17</f>
            </numRef>
          </val>
        </ser>
        <ser>
          <idx val="1"/>
          <order val="1"/>
          <tx>
            <strRef>
              <f>'Summary'!$C$5</f>
            </strRef>
          </tx>
          <spPr>
            <a:solidFill>
              <a:srgbClr val="FFC0504D"/>
            </a:solidFill>
            <a:ln>
              <a:solidFill>
                <a:srgbClr val="FFC0504D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'Summary'!$C$6:$C$17</f>
            </numRef>
          </val>
        </ser>
        <ser>
          <idx val="2"/>
          <order val="2"/>
          <tx>
            <strRef>
              <f>'Summary'!$D$5</f>
            </strRef>
          </tx>
          <spPr>
            <a:solidFill>
              <a:srgbClr val="FFF4B183"/>
            </a:solidFill>
            <a:ln>
              <a:solidFill>
                <a:srgbClr val="FFF4B183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'Summary'!$D$6:$D$17</f>
            </numRef>
          </val>
        </ser>
        <ser>
          <idx val="3"/>
          <order val="3"/>
          <tx>
            <strRef>
              <f>'Summary'!$E$5</f>
            </strRef>
          </tx>
          <spPr>
            <a:solidFill>
              <a:srgbClr val="FF70AD47"/>
            </a:solidFill>
            <a:ln>
              <a:solidFill>
                <a:srgbClr val="FF70AD47"/>
              </a:solidFill>
              <a:prstDash val="solid"/>
            </a:ln>
          </spPr>
          <cat>
            <numRef>
              <f>'Summary'!$A$6:$A$17</f>
            </numRef>
          </cat>
          <val>
            <numRef>
              <f>'Summary'!$E$6:$E$17</f>
            </numRef>
          </val>
        </ser>
        <ser>
          <idx val="4"/>
          <order val="4"/>
          <tx>
            <strRef>
              <f>'Summary'!F5</f>
            </strRef>
          </tx>
          <spPr>
            <a:ln>
              <a:prstDash val="solid"/>
            </a:ln>
          </spPr>
          <val>
            <numRef>
              <f>'Summary'!$F$6:$F$17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/>
              <a:p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J37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52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0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BDI&gt;=17 table-aligned outer validation. Subject-OS values are three-seed means; the matched Qwen pilot did not clear the Stage-5 gate.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9" ht="21" customHeight="1" s="119">
      <c r="A19" s="180" t="inlineStr">
        <is>
          <t>Reading note: DAIC and CMDC were tuned using positive F1; Turkish and D3TEC were selected using Macro-F1. D3TEC audio checkpoints and hidden heads use response-normalized segments with equal response votes; Subject OS is outside this experiment.</t>
        </is>
      </c>
      <c r="B19" s="201" t="n"/>
      <c r="C19" s="201" t="n"/>
      <c r="D19" s="201" t="n"/>
      <c r="E19" s="202" t="n"/>
      <c r="F19" s="181" t="n"/>
    </row>
    <row r="20" ht="21" customHeight="1" s="119">
      <c r="A20" s="203" t="n"/>
      <c r="B20" s="204" t="n"/>
      <c r="C20" s="204" t="n"/>
      <c r="D20" s="204" t="n"/>
      <c r="E20" s="205" t="n"/>
      <c r="F20" s="181" t="n"/>
    </row>
  </sheetData>
  <autoFilter ref="A5:F17"/>
  <mergeCells count="4">
    <mergeCell ref="A2:F2"/>
    <mergeCell ref="A19:E20"/>
    <mergeCell ref="A1:E1"/>
    <mergeCell ref="A2:E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7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>
      <c r="A14" s="123" t="n"/>
      <c r="B14" s="62" t="n"/>
      <c r="C14" s="63" t="n"/>
      <c r="D14" s="63" t="n"/>
      <c r="E14" s="63" t="n"/>
      <c r="F14" s="63" t="n"/>
      <c r="G14" s="63" t="n"/>
      <c r="H14" s="63" t="n"/>
      <c r="I14" s="63" t="n"/>
    </row>
    <row r="15">
      <c r="B15" s="62" t="n"/>
      <c r="C15" s="63" t="n"/>
      <c r="D15" s="63" t="n"/>
      <c r="E15" s="63" t="n"/>
      <c r="F15" s="63" t="n"/>
      <c r="G15" s="63" t="n"/>
      <c r="H15" s="63" t="n"/>
      <c r="I15" s="63" t="n"/>
    </row>
    <row r="16">
      <c r="B16" s="62" t="n"/>
      <c r="C16" s="63" t="n"/>
      <c r="D16" s="63" t="n"/>
      <c r="E16" s="63" t="n"/>
      <c r="F16" s="63" t="n"/>
      <c r="G16" s="63" t="n"/>
      <c r="H16" s="63" t="n"/>
      <c r="I16" s="63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/>
    <row r="999" ht="15.75" customHeight="1" s="119"/>
    <row r="1000" ht="15.75" customHeight="1" s="119"/>
  </sheetData>
  <mergeCells count="4">
    <mergeCell ref="A11:A13"/>
    <mergeCell ref="A5:A7"/>
    <mergeCell ref="A2:A4"/>
    <mergeCell ref="A8:A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997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/>
    <row r="999" ht="15.75" customHeight="1" s="119"/>
    <row r="1000" ht="15.75" customHeight="1" s="119"/>
  </sheetData>
  <autoFilter ref="A4:M46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2026-07-29T15:20:52Z</dcterms:modified>
</cp:coreProperties>
</file>