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Results" sheetId="2" state="visible" r:id="rId2"/>
    <sheet name="joint" sheetId="3" state="visible" r:id="rId3"/>
    <sheet name="XGBoost Head" sheetId="4" state="visible" r:id="rId4"/>
    <sheet name="Turkish Oversampling" sheetId="5" state="visible" r:id="rId5"/>
    <sheet name="Turkish OS Comparison" sheetId="6" state="visible" r:id="rId6"/>
    <sheet name="Combined Results" sheetId="7" state="visible" r:id="rId7"/>
    <sheet name="DAIC PosF1 Graph" sheetId="8" state="visible" r:id="rId8"/>
    <sheet name="CMDC PosF1 Graph" sheetId="9" state="visible" r:id="rId9"/>
  </sheets>
  <definedNames>
    <definedName name="_xlnm._FilterDatabase" localSheetId="0" hidden="1">'Summary'!$A$5:$E$14</definedName>
    <definedName name="_xlnm.Print_Area" localSheetId="0">'Summary'!$A$1:$R$17</definedName>
    <definedName name="_xlnm._FilterDatabase" localSheetId="3" hidden="1">'XGBoost Head'!$A$1:$J$28</definedName>
    <definedName name="_xlnm._FilterDatabase" localSheetId="6" hidden="1">'Combined Results'!$A$4:$M$40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39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  <font>
      <b val="1"/>
      <color rgb="00FFFFFF"/>
      <sz val="16"/>
    </font>
    <font>
      <b val="1"/>
      <color rgb="00FFFFFF"/>
    </font>
    <font>
      <b val="1"/>
    </font>
  </fonts>
  <fills count="34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2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9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  <xf numFmtId="0" fontId="36" fillId="31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37" fillId="31" borderId="0" applyAlignment="1" pivotButton="0" quotePrefix="0" xfId="0">
      <alignment horizontal="center" vertical="center"/>
    </xf>
    <xf numFmtId="165" fontId="0" fillId="0" borderId="0" pivotButton="0" quotePrefix="0" xfId="0"/>
    <xf numFmtId="0" fontId="38" fillId="32" borderId="0" pivotButton="0" quotePrefix="0" xfId="0"/>
    <xf numFmtId="0" fontId="37" fillId="31" borderId="0" applyAlignment="1" pivotButton="0" quotePrefix="0" xfId="0">
      <alignment horizontal="center" wrapText="1"/>
    </xf>
    <xf numFmtId="165" fontId="0" fillId="33" borderId="0" pivotButton="0" quotePrefix="0" xfId="0"/>
    <xf numFmtId="0" fontId="37" fillId="31" borderId="0" applyAlignment="1" pivotButton="0" quotePrefix="0" xfId="0">
      <alignment horizontal="center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>
              <a:srgbClr val="FF4472C4"/>
            </a:solidFill>
            <a:ln>
              <a:solidFill>
                <a:srgbClr val="FF4472C4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'Summary'!$B$6:$B$14</f>
            </numRef>
          </val>
        </ser>
        <ser>
          <idx val="1"/>
          <order val="1"/>
          <tx>
            <strRef>
              <f>'Summary'!$C$5</f>
            </strRef>
          </tx>
          <spPr>
            <a:solidFill>
              <a:srgbClr val="FFC0504D"/>
            </a:solidFill>
            <a:ln>
              <a:solidFill>
                <a:srgbClr val="FFC0504D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'Summary'!$C$6:$C$14</f>
            </numRef>
          </val>
        </ser>
        <ser>
          <idx val="2"/>
          <order val="2"/>
          <tx>
            <strRef>
              <f>'Summary'!$D$5</f>
            </strRef>
          </tx>
          <spPr>
            <a:solidFill>
              <a:srgbClr val="FFF4B183"/>
            </a:solidFill>
            <a:ln>
              <a:solidFill>
                <a:srgbClr val="FFF4B183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'Summary'!$D$6:$D$14</f>
            </numRef>
          </val>
        </ser>
        <ser>
          <idx val="3"/>
          <order val="3"/>
          <tx>
            <strRef>
              <f>'Summary'!$E$5</f>
            </strRef>
          </tx>
          <spPr>
            <a:solidFill>
              <a:srgbClr val="FF70AD47"/>
            </a:solidFill>
            <a:ln>
              <a:solidFill>
                <a:srgbClr val="FF70AD47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'Summary'!$E$6:$E$14</f>
            </numRef>
          </val>
        </ser>
        <ser>
          <idx val="4"/>
          <order val="4"/>
          <tx>
            <strRef>
              <f>'Summary'!F5</f>
            </strRef>
          </tx>
          <spPr>
            <a:ln>
              <a:prstDash val="solid"/>
            </a:ln>
          </spPr>
          <val>
            <numRef>
              <f>'Summary'!$F$6:$F$14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/>
              <a:p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Hidden-state Macro-F1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Comparison'!B6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Comparison'!$B$7:$B$9</f>
            </numRef>
          </val>
        </ser>
        <ser>
          <idx val="1"/>
          <order val="1"/>
          <tx>
            <strRef>
              <f>'Turkish OS Comparison'!C6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Comparison'!$C$7:$C$9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Hidden-state Negative Recall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'Turkish OS Comparison'!E6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Comparison'!$E$7:$E$9</f>
            </numRef>
          </val>
        </ser>
        <ser>
          <idx val="1"/>
          <order val="1"/>
          <tx>
            <strRef>
              <f>'Turkish OS Comparison'!F6</f>
            </strRef>
          </tx>
          <spPr>
            <a:ln>
              <a:prstDash val="solid"/>
            </a:ln>
          </spPr>
          <cat>
            <numRef>
              <f>'Turkish OS Comparison'!$A$7:$A$9</f>
            </numRef>
          </cat>
          <val>
            <numRef>
              <f>'Turkish OS Comparison'!$F$7:$F$9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Negative recall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18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J28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3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F1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  <col width="24" customWidth="1" style="119" min="6" max="6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Turkish hidden-state heads use BDI&gt;=17 table-aligned outer validation. Subject-OS values are three-seed means; the matched Qwen pilot did not clear the Stage-5 gate.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  <c r="F5" s="174" t="inlineStr">
        <is>
          <t>XGBoost Subject OS
(3-seed mean)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  <c r="F6" s="176" t="n"/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  <c r="F7" s="176" t="n"/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  <c r="F8" s="177" t="n"/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  <c r="F9" s="177" t="n"/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  <c r="F10" s="177" t="n"/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  <c r="F11" s="179" t="n"/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  <c r="F12" s="177" t="n">
        <v>0.4726931014897003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  <c r="F13" s="181" t="n">
        <v>0.5244446576909753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  <c r="F14" s="181" t="n">
        <v>0.5996362688219362</v>
      </c>
    </row>
    <row r="15" ht="21" customHeight="1" s="119"/>
    <row r="16" ht="18" customHeight="1" s="119">
      <c r="A16" s="184" t="inlineStr">
        <is>
          <t>Reading note: DAIC and CMDC were tuned using positive F1 as their optimization objective, while Turkish was tuned using Macro-F1. This page nevertheless reports Macro-F1 consistently for every result.</t>
        </is>
      </c>
    </row>
    <row r="17" ht="18" customHeight="1" s="119"/>
    <row r="19" ht="18" customHeight="1" s="119"/>
    <row r="20" ht="18" customHeight="1" s="119"/>
  </sheetData>
  <autoFilter ref="A5:E14"/>
  <mergeCells count="4">
    <mergeCell ref="A2:F2"/>
    <mergeCell ref="A1:E1"/>
    <mergeCell ref="A2:E3"/>
    <mergeCell ref="A16:E17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7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>
      <c r="A11" s="122" t="n"/>
      <c r="B11" s="54" t="n"/>
      <c r="C11" s="55" t="n"/>
      <c r="D11" s="55" t="n"/>
      <c r="E11" s="55" t="n"/>
      <c r="F11" s="55" t="n"/>
      <c r="G11" s="55" t="n"/>
      <c r="H11" s="55" t="n"/>
      <c r="I11" s="55" t="n"/>
    </row>
    <row r="12">
      <c r="B12" s="54" t="n"/>
      <c r="C12" s="55" t="n"/>
      <c r="D12" s="55" t="n"/>
      <c r="E12" s="55" t="n"/>
      <c r="F12" s="55" t="n"/>
      <c r="G12" s="55" t="n"/>
      <c r="H12" s="55" t="n"/>
      <c r="I12" s="55" t="n"/>
    </row>
    <row r="13">
      <c r="B13" s="54" t="n"/>
      <c r="C13" s="55" t="n"/>
      <c r="D13" s="55" t="n"/>
      <c r="E13" s="55" t="n"/>
      <c r="F13" s="55" t="n"/>
      <c r="G13" s="55" t="n"/>
      <c r="H13" s="55" t="n"/>
      <c r="I13" s="55" t="n"/>
    </row>
    <row r="14">
      <c r="A14" s="123" t="n"/>
      <c r="B14" s="62" t="n"/>
      <c r="C14" s="63" t="n"/>
      <c r="D14" s="63" t="n"/>
      <c r="E14" s="63" t="n"/>
      <c r="F14" s="63" t="n"/>
      <c r="G14" s="63" t="n"/>
      <c r="H14" s="63" t="n"/>
      <c r="I14" s="63" t="n"/>
    </row>
    <row r="15">
      <c r="B15" s="62" t="n"/>
      <c r="C15" s="63" t="n"/>
      <c r="D15" s="63" t="n"/>
      <c r="E15" s="63" t="n"/>
      <c r="F15" s="63" t="n"/>
      <c r="G15" s="63" t="n"/>
      <c r="H15" s="63" t="n"/>
      <c r="I15" s="63" t="n"/>
    </row>
    <row r="16">
      <c r="B16" s="62" t="n"/>
      <c r="C16" s="63" t="n"/>
      <c r="D16" s="63" t="n"/>
      <c r="E16" s="63" t="n"/>
      <c r="F16" s="63" t="n"/>
      <c r="G16" s="63" t="n"/>
      <c r="H16" s="63" t="n"/>
      <c r="I16" s="63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</row>
    <row r="998" ht="15.75" customHeight="1" s="119"/>
    <row r="999" ht="15.75" customHeight="1" s="119"/>
    <row r="1000" ht="15.75" customHeight="1" s="119"/>
  </sheetData>
  <mergeCells count="3">
    <mergeCell ref="A2:A4"/>
    <mergeCell ref="A5:A7"/>
    <mergeCell ref="A8:A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185" t="n">
        <v>0.851064</v>
      </c>
      <c r="E2" s="185" t="n">
        <v>0.8</v>
      </c>
      <c r="F2" s="185" t="n">
        <v>1</v>
      </c>
      <c r="G2" s="185" t="n">
        <v>0.666667</v>
      </c>
      <c r="H2" s="185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185" t="n">
        <v>0.851064</v>
      </c>
      <c r="E8" s="185" t="n">
        <v>0.740741</v>
      </c>
      <c r="F8" s="185" t="n">
        <v>0.714286</v>
      </c>
      <c r="G8" s="185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186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186" t="n">
        <v>0.851064</v>
      </c>
      <c r="E10" s="186" t="n">
        <v>0.740741</v>
      </c>
      <c r="F10" s="186" t="n">
        <v>0.714286</v>
      </c>
      <c r="G10" s="186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187" t="n">
        <v>0.987179</v>
      </c>
      <c r="E11" s="187" t="n">
        <v>0.980392</v>
      </c>
      <c r="F11" s="187" t="n">
        <v>0.961538</v>
      </c>
      <c r="G11" s="187" t="n">
        <v>1</v>
      </c>
      <c r="H11" s="187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188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188" t="n">
        <v>0.987179</v>
      </c>
      <c r="E13" s="188" t="n">
        <v>0.980392</v>
      </c>
      <c r="F13" s="188" t="n">
        <v>0.961538</v>
      </c>
      <c r="G13" s="188" t="n">
        <v>1</v>
      </c>
      <c r="H13" s="188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187" t="n">
        <v>0.987179</v>
      </c>
      <c r="E14" s="187" t="n">
        <v>0.980392</v>
      </c>
      <c r="F14" s="187" t="n">
        <v>0.961538</v>
      </c>
      <c r="G14" s="187" t="n">
        <v>1</v>
      </c>
      <c r="H14" s="187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188" t="n">
        <v>0.987179</v>
      </c>
      <c r="E15" s="188" t="n">
        <v>0.980392</v>
      </c>
      <c r="F15" s="188" t="n">
        <v>0.961538</v>
      </c>
      <c r="G15" s="188" t="n">
        <v>1</v>
      </c>
      <c r="H15" s="188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188" t="n">
        <v>0.987179</v>
      </c>
      <c r="E16" s="188" t="n">
        <v>0.980392</v>
      </c>
      <c r="F16" s="188" t="n">
        <v>0.961538</v>
      </c>
      <c r="G16" s="188" t="n">
        <v>1</v>
      </c>
      <c r="H16" s="188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187" t="n">
        <v>0.987179</v>
      </c>
      <c r="E17" s="187" t="n">
        <v>0.980392</v>
      </c>
      <c r="F17" s="187" t="n">
        <v>0.961538</v>
      </c>
      <c r="G17" s="187" t="n">
        <v>1</v>
      </c>
      <c r="H17" s="187" t="n">
        <v>0.985434</v>
      </c>
      <c r="I17" s="187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188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188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190" t="n">
        <v>0.7166670000000001</v>
      </c>
      <c r="E24" s="190" t="n">
        <v>0.83</v>
      </c>
      <c r="F24" s="190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190" t="n">
        <v>0.623016</v>
      </c>
      <c r="I27" s="190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190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28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style="119" min="1" max="1"/>
    <col width="22" customWidth="1" style="119" min="2" max="2"/>
    <col width="13" customWidth="1" style="119" min="3" max="3"/>
    <col width="12" customWidth="1" style="119" min="4" max="4"/>
    <col width="12" customWidth="1" style="119" min="5" max="5"/>
    <col width="12" customWidth="1" style="119" min="6" max="6"/>
    <col width="13" customWidth="1" style="119" min="7" max="7"/>
    <col width="15" customWidth="1" style="119" min="8" max="8"/>
    <col width="15" customWidth="1" style="119" min="9" max="9"/>
    <col width="16" customWidth="1" style="119" min="10" max="10"/>
    <col width="12" customWidth="1" style="119" min="11" max="11"/>
    <col width="24" customWidth="1" style="119" min="12" max="12"/>
  </cols>
  <sheetData>
    <row r="1">
      <c r="A1" s="191" t="inlineStr">
        <is>
          <t>Turkish BDI&gt;=17 Subject Oversampling</t>
        </is>
      </c>
    </row>
    <row r="2">
      <c r="A2" s="192" t="inlineStr">
        <is>
          <t>Five-fold hidden-state results use table-aligned outer validation. Qwen results are the predeclared folds 0-1 pilot, not a full-panel result.</t>
        </is>
      </c>
    </row>
    <row r="4">
      <c r="A4" s="193" t="inlineStr">
        <is>
          <t>Modality</t>
        </is>
      </c>
      <c r="B4" s="193" t="inlineStr">
        <is>
          <t>Profile</t>
        </is>
      </c>
      <c r="C4" s="193" t="inlineStr">
        <is>
          <t>OS seed</t>
        </is>
      </c>
      <c r="D4" s="193" t="inlineStr">
        <is>
          <t>Accuracy</t>
        </is>
      </c>
      <c r="E4" s="193" t="inlineStr">
        <is>
          <t>Positive F1</t>
        </is>
      </c>
      <c r="F4" s="193" t="inlineStr">
        <is>
          <t>Macro F1</t>
        </is>
      </c>
      <c r="G4" s="193" t="inlineStr">
        <is>
          <t>Negative F1</t>
        </is>
      </c>
      <c r="H4" s="193" t="inlineStr">
        <is>
          <t>Negative recall</t>
        </is>
      </c>
      <c r="I4" s="193" t="inlineStr">
        <is>
          <t>Positive recall</t>
        </is>
      </c>
      <c r="J4" s="193" t="inlineStr">
        <is>
          <t>Balanced accuracy</t>
        </is>
      </c>
      <c r="K4" s="193" t="inlineStr">
        <is>
          <t>AUROC</t>
        </is>
      </c>
      <c r="L4" s="193" t="inlineStr">
        <is>
          <t>Confusion matrix</t>
        </is>
      </c>
    </row>
    <row r="5">
      <c r="A5" t="inlineStr">
        <is>
          <t>Audio + Text</t>
        </is>
      </c>
      <c r="B5" t="inlineStr">
        <is>
          <t>Control</t>
        </is>
      </c>
      <c r="D5" s="194" t="n">
        <v>0.675</v>
      </c>
      <c r="E5" s="194" t="n">
        <v>0.8</v>
      </c>
      <c r="F5" s="194" t="n">
        <v>0.4666666666666667</v>
      </c>
      <c r="G5" s="194" t="n">
        <v>0.1333333333333333</v>
      </c>
      <c r="H5" s="194" t="n">
        <v>0.08108108108108109</v>
      </c>
      <c r="I5" s="194" t="n">
        <v>0.9397590361445783</v>
      </c>
      <c r="J5" s="194" t="n">
        <v>0.5104200586128297</v>
      </c>
      <c r="K5" s="194" t="n">
        <v>0.606317</v>
      </c>
      <c r="L5" t="inlineStr">
        <is>
          <t>[[3, 34], [5, 78]]</t>
        </is>
      </c>
    </row>
    <row r="6">
      <c r="A6" t="inlineStr">
        <is>
          <t>Audio + Text</t>
        </is>
      </c>
      <c r="B6" t="inlineStr">
        <is>
          <t>Subject OS 0.75</t>
        </is>
      </c>
      <c r="C6" t="n">
        <v>1337</v>
      </c>
      <c r="D6" s="194" t="n">
        <v>0.6583333333333333</v>
      </c>
      <c r="E6" s="194" t="n">
        <v>0.7853403141361257</v>
      </c>
      <c r="F6" s="194" t="n">
        <v>0.4743028101292873</v>
      </c>
      <c r="G6" s="194" t="n">
        <v>0.163265306122449</v>
      </c>
      <c r="H6" s="194" t="n">
        <v>0.1081081081081081</v>
      </c>
      <c r="I6" s="194" t="n">
        <v>0.9036144578313253</v>
      </c>
      <c r="J6" s="194" t="n">
        <v>0.5058612829697167</v>
      </c>
      <c r="K6" s="194" t="n">
        <v>0.587431</v>
      </c>
      <c r="L6" t="inlineStr">
        <is>
          <t>[[4, 33], [8, 75]]</t>
        </is>
      </c>
    </row>
    <row r="7">
      <c r="A7" t="inlineStr">
        <is>
          <t>Audio + Text</t>
        </is>
      </c>
      <c r="B7" t="inlineStr">
        <is>
          <t>Subject OS 0.75</t>
        </is>
      </c>
      <c r="C7" t="n">
        <v>2024</v>
      </c>
      <c r="D7" s="194" t="n">
        <v>0.65</v>
      </c>
      <c r="E7" s="194" t="n">
        <v>0.7789473684210526</v>
      </c>
      <c r="F7" s="194" t="n">
        <v>0.4694736842105263</v>
      </c>
      <c r="G7" s="194" t="n">
        <v>0.16</v>
      </c>
      <c r="H7" s="194" t="n">
        <v>0.1081081081081081</v>
      </c>
      <c r="I7" s="194" t="n">
        <v>0.8915662650602409</v>
      </c>
      <c r="J7" s="194" t="n">
        <v>0.4998371865841745</v>
      </c>
      <c r="K7" s="194" t="n">
        <v>0.607294</v>
      </c>
      <c r="L7" t="inlineStr">
        <is>
          <t>[[4, 33], [9, 74]]</t>
        </is>
      </c>
    </row>
    <row r="8">
      <c r="A8" t="inlineStr">
        <is>
          <t>Audio + Text</t>
        </is>
      </c>
      <c r="B8" t="inlineStr">
        <is>
          <t>Subject OS 0.75</t>
        </is>
      </c>
      <c r="C8" t="n">
        <v>7</v>
      </c>
      <c r="D8" s="194" t="n">
        <v>0.6583333333333333</v>
      </c>
      <c r="E8" s="194" t="n">
        <v>0.7853403141361257</v>
      </c>
      <c r="F8" s="194" t="n">
        <v>0.4743028101292873</v>
      </c>
      <c r="G8" s="194" t="n">
        <v>0.163265306122449</v>
      </c>
      <c r="H8" s="194" t="n">
        <v>0.1081081081081081</v>
      </c>
      <c r="I8" s="194" t="n">
        <v>0.9036144578313253</v>
      </c>
      <c r="J8" s="194" t="n">
        <v>0.5058612829697167</v>
      </c>
      <c r="K8" s="194" t="n">
        <v>0.579941</v>
      </c>
      <c r="L8" t="inlineStr">
        <is>
          <t>[[4, 33], [8, 75]]</t>
        </is>
      </c>
    </row>
    <row r="9">
      <c r="A9" t="inlineStr">
        <is>
          <t>Audio only</t>
        </is>
      </c>
      <c r="B9" t="inlineStr">
        <is>
          <t>Control</t>
        </is>
      </c>
      <c r="D9" s="194" t="n">
        <v>0.7166666666666667</v>
      </c>
      <c r="E9" s="194" t="n">
        <v>0.83</v>
      </c>
      <c r="F9" s="194" t="n">
        <v>0.49</v>
      </c>
      <c r="G9" s="194" t="n">
        <v>0.15</v>
      </c>
      <c r="H9" s="194" t="n">
        <v>0.08108108108108109</v>
      </c>
      <c r="I9" s="194" t="n">
        <v>1</v>
      </c>
      <c r="J9" s="194" t="n">
        <v>0.5405405405405406</v>
      </c>
      <c r="K9" s="194" t="n">
        <v>0.609573</v>
      </c>
      <c r="L9" t="inlineStr">
        <is>
          <t>[[3, 34], [0, 83]]</t>
        </is>
      </c>
    </row>
    <row r="10">
      <c r="A10" t="inlineStr">
        <is>
          <t>Audio only</t>
        </is>
      </c>
      <c r="B10" t="inlineStr">
        <is>
          <t>Subject OS 0.75</t>
        </is>
      </c>
      <c r="C10" t="n">
        <v>1337</v>
      </c>
      <c r="D10" s="194" t="n">
        <v>0.6833333333333333</v>
      </c>
      <c r="E10" s="194" t="n">
        <v>0.7999999999999999</v>
      </c>
      <c r="F10" s="194" t="n">
        <v>0.52</v>
      </c>
      <c r="G10" s="194" t="n">
        <v>0.24</v>
      </c>
      <c r="H10" s="194" t="n">
        <v>0.1621621621621622</v>
      </c>
      <c r="I10" s="194" t="n">
        <v>0.9156626506024096</v>
      </c>
      <c r="J10" s="194" t="n">
        <v>0.5389124063822859</v>
      </c>
      <c r="K10" s="194" t="n">
        <v>0.661022</v>
      </c>
      <c r="L10" t="inlineStr">
        <is>
          <t>[[6, 31], [7, 76]]</t>
        </is>
      </c>
    </row>
    <row r="11">
      <c r="A11" t="inlineStr">
        <is>
          <t>Audio only</t>
        </is>
      </c>
      <c r="B11" t="inlineStr">
        <is>
          <t>Subject OS 0.75</t>
        </is>
      </c>
      <c r="C11" t="n">
        <v>2024</v>
      </c>
      <c r="D11" s="194" t="n">
        <v>0.6916666666666667</v>
      </c>
      <c r="E11" s="194" t="n">
        <v>0.8082901554404145</v>
      </c>
      <c r="F11" s="194" t="n">
        <v>0.5105280564436115</v>
      </c>
      <c r="G11" s="194" t="n">
        <v>0.2127659574468085</v>
      </c>
      <c r="H11" s="194" t="n">
        <v>0.1351351351351351</v>
      </c>
      <c r="I11" s="194" t="n">
        <v>0.9397590361445783</v>
      </c>
      <c r="J11" s="194" t="n">
        <v>0.5374470856398568</v>
      </c>
      <c r="K11" s="194" t="n">
        <v>0.6440900000000001</v>
      </c>
      <c r="L11" t="inlineStr">
        <is>
          <t>[[5, 32], [5, 78]]</t>
        </is>
      </c>
    </row>
    <row r="12">
      <c r="A12" t="inlineStr">
        <is>
          <t>Audio only</t>
        </is>
      </c>
      <c r="B12" t="inlineStr">
        <is>
          <t>Subject OS 0.75</t>
        </is>
      </c>
      <c r="C12" t="n">
        <v>7</v>
      </c>
      <c r="D12" s="194" t="n">
        <v>0.7166666666666667</v>
      </c>
      <c r="E12" s="194" t="n">
        <v>0.8247422680412371</v>
      </c>
      <c r="F12" s="194" t="n">
        <v>0.5428059166293142</v>
      </c>
      <c r="G12" s="194" t="n">
        <v>0.2608695652173914</v>
      </c>
      <c r="H12" s="194" t="n">
        <v>0.1621621621621622</v>
      </c>
      <c r="I12" s="194" t="n">
        <v>0.963855421686747</v>
      </c>
      <c r="J12" s="194" t="n">
        <v>0.5630087919244546</v>
      </c>
      <c r="K12" s="194" t="n">
        <v>0.662651</v>
      </c>
      <c r="L12" t="inlineStr">
        <is>
          <t>[[6, 31], [3, 80]]</t>
        </is>
      </c>
    </row>
    <row r="13">
      <c r="A13" t="inlineStr">
        <is>
          <t>Text only</t>
        </is>
      </c>
      <c r="B13" t="inlineStr">
        <is>
          <t>Control</t>
        </is>
      </c>
      <c r="D13" s="194" t="n">
        <v>0.6416666666666667</v>
      </c>
      <c r="E13" s="194" t="n">
        <v>0.7393939393939394</v>
      </c>
      <c r="F13" s="194" t="n">
        <v>0.583030303030303</v>
      </c>
      <c r="G13" s="194" t="n">
        <v>0.4266666666666667</v>
      </c>
      <c r="H13" s="194" t="n">
        <v>0.4324324324324325</v>
      </c>
      <c r="I13" s="194" t="n">
        <v>0.7349397590361446</v>
      </c>
      <c r="J13" s="194" t="n">
        <v>0.5836860957342885</v>
      </c>
      <c r="K13" s="194" t="n">
        <v>0.646369</v>
      </c>
      <c r="L13" t="inlineStr">
        <is>
          <t>[[16, 21], [22, 61]]</t>
        </is>
      </c>
    </row>
    <row r="14">
      <c r="A14" t="inlineStr">
        <is>
          <t>Text only</t>
        </is>
      </c>
      <c r="B14" t="inlineStr">
        <is>
          <t>Subject OS 0.75</t>
        </is>
      </c>
      <c r="C14" t="n">
        <v>1337</v>
      </c>
      <c r="D14" s="194" t="n">
        <v>0.65</v>
      </c>
      <c r="E14" s="194" t="n">
        <v>0.7469879518072289</v>
      </c>
      <c r="F14" s="194" t="n">
        <v>0.5897101921198307</v>
      </c>
      <c r="G14" s="194" t="n">
        <v>0.4324324324324325</v>
      </c>
      <c r="H14" s="194" t="n">
        <v>0.4324324324324325</v>
      </c>
      <c r="I14" s="194" t="n">
        <v>0.7469879518072289</v>
      </c>
      <c r="J14" s="194" t="n">
        <v>0.5897101921198307</v>
      </c>
      <c r="K14" s="194" t="n">
        <v>0.617063</v>
      </c>
      <c r="L14" t="inlineStr">
        <is>
          <t>[[16, 21], [21, 62]]</t>
        </is>
      </c>
    </row>
    <row r="15">
      <c r="A15" t="inlineStr">
        <is>
          <t>Text only</t>
        </is>
      </c>
      <c r="B15" t="inlineStr">
        <is>
          <t>Subject OS 0.75</t>
        </is>
      </c>
      <c r="C15" t="n">
        <v>2024</v>
      </c>
      <c r="D15" s="194" t="n">
        <v>0.6416666666666667</v>
      </c>
      <c r="E15" s="194" t="n">
        <v>0.732919254658385</v>
      </c>
      <c r="F15" s="194" t="n">
        <v>0.5943077285950153</v>
      </c>
      <c r="G15" s="194" t="n">
        <v>0.4556962025316456</v>
      </c>
      <c r="H15" s="194" t="n">
        <v>0.4864864864864865</v>
      </c>
      <c r="I15" s="194" t="n">
        <v>0.7108433734939759</v>
      </c>
      <c r="J15" s="194" t="n">
        <v>0.5986649299902311</v>
      </c>
      <c r="K15" s="194" t="n">
        <v>0.647509</v>
      </c>
      <c r="L15" t="inlineStr">
        <is>
          <t>[[18, 19], [24, 59]]</t>
        </is>
      </c>
    </row>
    <row r="16">
      <c r="A16" t="inlineStr">
        <is>
          <t>Text only</t>
        </is>
      </c>
      <c r="B16" t="inlineStr">
        <is>
          <t>Subject OS 0.75</t>
        </is>
      </c>
      <c r="C16" t="n">
        <v>7</v>
      </c>
      <c r="D16" s="194" t="n">
        <v>0.6666666666666666</v>
      </c>
      <c r="E16" s="194" t="n">
        <v>0.7560975609756098</v>
      </c>
      <c r="F16" s="194" t="n">
        <v>0.6148908857509627</v>
      </c>
      <c r="G16" s="194" t="n">
        <v>0.4736842105263158</v>
      </c>
      <c r="H16" s="194" t="n">
        <v>0.4864864864864865</v>
      </c>
      <c r="I16" s="194" t="n">
        <v>0.7469879518072289</v>
      </c>
      <c r="J16" s="194" t="n">
        <v>0.6167372191468576</v>
      </c>
      <c r="K16" s="194" t="n">
        <v>0.646369</v>
      </c>
      <c r="L16" t="inlineStr">
        <is>
          <t>[[18, 19], [21, 62]]</t>
        </is>
      </c>
    </row>
    <row r="17"/>
    <row r="18">
      <c r="A18" s="195" t="inlineStr">
        <is>
          <t>Stage 3 gate</t>
        </is>
      </c>
    </row>
    <row r="19"/>
    <row r="20">
      <c r="A20" s="193" t="inlineStr">
        <is>
          <t>Modality</t>
        </is>
      </c>
      <c r="B20" s="193" t="inlineStr">
        <is>
          <t>Control Macro F1</t>
        </is>
      </c>
      <c r="C20" s="193" t="inlineStr">
        <is>
          <t>OS mean Macro F1</t>
        </is>
      </c>
      <c r="D20" s="193" t="inlineStr">
        <is>
          <t>Mean gain</t>
        </is>
      </c>
      <c r="E20" s="193" t="inlineStr">
        <is>
          <t>Seeds beating</t>
        </is>
      </c>
      <c r="F20" s="193" t="inlineStr">
        <is>
          <t>Mean negative-recall gain</t>
        </is>
      </c>
      <c r="G20" s="193" t="inlineStr">
        <is>
          <t>Positive-recall loss</t>
        </is>
      </c>
      <c r="H20" s="193" t="inlineStr">
        <is>
          <t>Qualifies</t>
        </is>
      </c>
    </row>
    <row r="21">
      <c r="A21" t="inlineStr">
        <is>
          <t>Audio + Text</t>
        </is>
      </c>
      <c r="B21" t="n">
        <v>0.4666666666666667</v>
      </c>
      <c r="C21" t="n">
        <v>0.4726931014897003</v>
      </c>
      <c r="D21" s="194" t="n">
        <v>0.006026434823033648</v>
      </c>
      <c r="E21" t="n">
        <v>3</v>
      </c>
      <c r="F21" s="194" t="n">
        <v>0.02702702702702703</v>
      </c>
      <c r="G21" s="194" t="n">
        <v>0.04016064257028115</v>
      </c>
      <c r="H21" t="inlineStr">
        <is>
          <t>FAIL</t>
        </is>
      </c>
    </row>
    <row r="22">
      <c r="A22" t="inlineStr">
        <is>
          <t>Audio only</t>
        </is>
      </c>
      <c r="B22" t="n">
        <v>0.49</v>
      </c>
      <c r="C22" t="n">
        <v>0.5244446576909753</v>
      </c>
      <c r="D22" s="194" t="n">
        <v>0.03444465769097527</v>
      </c>
      <c r="E22" t="n">
        <v>3</v>
      </c>
      <c r="F22" s="194" t="n">
        <v>0.07207207207207207</v>
      </c>
      <c r="G22" s="194" t="n">
        <v>0.06024096385542169</v>
      </c>
      <c r="H22" t="inlineStr">
        <is>
          <t>PASS</t>
        </is>
      </c>
    </row>
    <row r="23">
      <c r="A23" t="inlineStr">
        <is>
          <t>Text only</t>
        </is>
      </c>
      <c r="B23" t="n">
        <v>0.583030303030303</v>
      </c>
      <c r="C23" t="n">
        <v>0.5996362688219362</v>
      </c>
      <c r="D23" s="194" t="n">
        <v>0.01660596579163324</v>
      </c>
      <c r="E23" t="n">
        <v>3</v>
      </c>
      <c r="F23" s="194" t="n">
        <v>0.03603603603603604</v>
      </c>
      <c r="G23" s="194" t="n">
        <v>7.401486830834377e-17</v>
      </c>
      <c r="H23" t="inlineStr">
        <is>
          <t>FAIL</t>
        </is>
      </c>
    </row>
    <row r="24"/>
    <row r="25"/>
    <row r="26"/>
    <row r="27">
      <c r="A27" s="195" t="inlineStr">
        <is>
          <t>Stage 4 matched Qwen pilot</t>
        </is>
      </c>
    </row>
    <row r="28"/>
    <row r="29">
      <c r="A29" s="193" t="inlineStr">
        <is>
          <t>Profile</t>
        </is>
      </c>
      <c r="B29" s="193" t="inlineStr">
        <is>
          <t>Fold 0 selected Macro F1</t>
        </is>
      </c>
      <c r="C29" s="193" t="inlineStr">
        <is>
          <t>Fold 1 selected Macro F1</t>
        </is>
      </c>
      <c r="D29" s="193" t="inlineStr">
        <is>
          <t>Fold mean</t>
        </is>
      </c>
      <c r="E29" s="193" t="inlineStr">
        <is>
          <t>Pooled Macro F1</t>
        </is>
      </c>
      <c r="F29" s="193" t="inlineStr">
        <is>
          <t>Pooled negative recall</t>
        </is>
      </c>
      <c r="G29" s="193" t="inlineStr">
        <is>
          <t>Pooled positive recall</t>
        </is>
      </c>
      <c r="H29" s="193" t="inlineStr">
        <is>
          <t>Stage 5</t>
        </is>
      </c>
    </row>
    <row r="30">
      <c r="A30" t="inlineStr">
        <is>
          <t>Weighted control</t>
        </is>
      </c>
      <c r="B30" t="n">
        <v>0.533106960950764</v>
      </c>
      <c r="C30" t="n">
        <v>0.5322245322245323</v>
      </c>
      <c r="D30" s="194" t="n">
        <v>0.5326657465876481</v>
      </c>
      <c r="E30" s="194" t="n">
        <v>0.5404411764705883</v>
      </c>
      <c r="F30" s="194" t="n">
        <v>0.375</v>
      </c>
      <c r="G30" s="194" t="n">
        <v>0.7058823529411765</v>
      </c>
      <c r="H30" t="inlineStr">
        <is>
          <t>STOP</t>
        </is>
      </c>
    </row>
    <row r="31">
      <c r="A31" t="inlineStr">
        <is>
          <t>Subject OS 0.75</t>
        </is>
      </c>
      <c r="B31" t="n">
        <v>0.4999999999999999</v>
      </c>
      <c r="C31" t="n">
        <v>0.592074592074592</v>
      </c>
      <c r="D31" s="194" t="n">
        <v>0.546037296037296</v>
      </c>
      <c r="E31" s="194" t="n">
        <v>0.5558672276764843</v>
      </c>
      <c r="F31" s="194" t="n">
        <v>0.375</v>
      </c>
      <c r="G31" s="194" t="n">
        <v>0.7352941176470589</v>
      </c>
      <c r="H31" t="inlineStr">
        <is>
          <t>STOP</t>
        </is>
      </c>
    </row>
    <row r="32"/>
    <row r="33">
      <c r="A33" t="inlineStr">
        <is>
          <t>Mean selected-fold gain</t>
        </is>
      </c>
      <c r="B33" t="n">
        <v>0.01337154944964783</v>
      </c>
    </row>
    <row r="34">
      <c r="A34" t="inlineStr">
        <is>
          <t>Minimum selected-fold gain</t>
        </is>
      </c>
      <c r="B34" t="n">
        <v>-0.0331069609507641</v>
      </c>
    </row>
    <row r="35">
      <c r="A35" t="inlineStr">
        <is>
          <t>Pooled Macro F1 non-inferiority</t>
        </is>
      </c>
      <c r="B35" t="b">
        <v>1</v>
      </c>
    </row>
    <row r="36">
      <c r="A36" t="inlineStr">
        <is>
          <t>Pooled negative-recall non-inferiority</t>
        </is>
      </c>
      <c r="B36" t="b">
        <v>1</v>
      </c>
    </row>
    <row r="37"/>
    <row r="38">
      <c r="A38" t="inlineStr">
        <is>
          <t>Execution</t>
        </is>
      </c>
      <c r="B38" s="192" t="inlineStr">
        <is>
          <t>86 Slurm jobs accounted: 85 completed 0:0; job 43809957 is the documented smoke configuration failure, corrected by 43810107.</t>
        </is>
      </c>
    </row>
    <row r="39">
      <c r="A39" t="inlineStr">
        <is>
          <t>Acceptance</t>
        </is>
      </c>
      <c r="B39" s="192" t="inlineStr">
        <is>
          <t>Stages 2-4 audits pass; zero unexpected log signatures; Stage 5 not submitted because the predeclared pilot gate failed.</t>
        </is>
      </c>
    </row>
    <row r="40"/>
  </sheetData>
  <mergeCells count="6">
    <mergeCell ref="A2:L2"/>
    <mergeCell ref="B38:L38"/>
    <mergeCell ref="B39:L39"/>
    <mergeCell ref="A1:L1"/>
    <mergeCell ref="A18:L18"/>
    <mergeCell ref="A27:L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20" customWidth="1" style="119" min="2" max="2"/>
    <col width="20" customWidth="1" style="119" min="3" max="3"/>
    <col width="18" customWidth="1" style="119" min="4" max="4"/>
    <col width="24" customWidth="1" style="119" min="5" max="5"/>
    <col width="24" customWidth="1" style="119" min="6" max="6"/>
    <col width="23" customWidth="1" style="119" min="7" max="7"/>
  </cols>
  <sheetData>
    <row r="1">
      <c r="A1" s="191" t="inlineStr">
        <is>
          <t>Turkish BDI&gt;=17: Baseline vs Subject Oversampling</t>
        </is>
      </c>
    </row>
    <row r="2">
      <c r="A2" s="192" t="inlineStr">
        <is>
          <t>Hidden-state values are five-fold pooled results; oversampling is the mean of seeds 1337, 2024, and 7. Qwen values are the folds 0-1 pilot.</t>
        </is>
      </c>
    </row>
    <row r="4">
      <c r="A4" s="195" t="inlineStr">
        <is>
          <t>Hidden-state XGBoost comparison</t>
        </is>
      </c>
    </row>
    <row r="6">
      <c r="A6" s="196" t="inlineStr">
        <is>
          <t>Modality</t>
        </is>
      </c>
      <c r="B6" s="196" t="inlineStr">
        <is>
          <t>Baseline Macro F1</t>
        </is>
      </c>
      <c r="C6" s="196" t="inlineStr">
        <is>
          <t>OS mean Macro F1</t>
        </is>
      </c>
      <c r="D6" s="196" t="inlineStr">
        <is>
          <t>Macro F1 delta</t>
        </is>
      </c>
      <c r="E6" s="196" t="inlineStr">
        <is>
          <t>Baseline negative recall</t>
        </is>
      </c>
      <c r="F6" s="196" t="inlineStr">
        <is>
          <t>OS mean negative recall</t>
        </is>
      </c>
      <c r="G6" s="196" t="inlineStr">
        <is>
          <t>Negative-recall delta</t>
        </is>
      </c>
    </row>
    <row r="7">
      <c r="A7" t="inlineStr">
        <is>
          <t>Audio + Text</t>
        </is>
      </c>
      <c r="B7" s="194" t="n">
        <v>0.4666666666666667</v>
      </c>
      <c r="C7" s="197" t="n">
        <v>0.4726931014897004</v>
      </c>
      <c r="D7" s="197" t="n">
        <v>0.006026434823033722</v>
      </c>
      <c r="E7" s="194" t="n">
        <v>0.08108108108108109</v>
      </c>
      <c r="F7" s="197" t="n">
        <v>0.1081081081081081</v>
      </c>
      <c r="G7" s="197" t="n">
        <v>0.02702702702702703</v>
      </c>
    </row>
    <row r="8">
      <c r="A8" t="inlineStr">
        <is>
          <t>Audio only</t>
        </is>
      </c>
      <c r="B8" s="194" t="n">
        <v>0.49</v>
      </c>
      <c r="C8" s="197" t="n">
        <v>0.5244446576909753</v>
      </c>
      <c r="D8" s="197" t="n">
        <v>0.03444465769097527</v>
      </c>
      <c r="E8" s="194" t="n">
        <v>0.08108108108108109</v>
      </c>
      <c r="F8" s="197" t="n">
        <v>0.1531531531531532</v>
      </c>
      <c r="G8" s="197" t="n">
        <v>0.07207207207207209</v>
      </c>
    </row>
    <row r="9">
      <c r="A9" t="inlineStr">
        <is>
          <t>Text only</t>
        </is>
      </c>
      <c r="B9" s="194" t="n">
        <v>0.583030303030303</v>
      </c>
      <c r="C9" s="197" t="n">
        <v>0.5996362688219362</v>
      </c>
      <c r="D9" s="197" t="n">
        <v>0.0166059657916332</v>
      </c>
      <c r="E9" s="194" t="n">
        <v>0.4324324324324325</v>
      </c>
      <c r="F9" s="197" t="n">
        <v>0.4684684684684685</v>
      </c>
      <c r="G9" s="197" t="n">
        <v>0.03603603603603606</v>
      </c>
    </row>
    <row r="10"/>
    <row r="11"/>
    <row r="12">
      <c r="A12" s="195" t="inlineStr">
        <is>
          <t>Matched Qwen audio-only pilot</t>
        </is>
      </c>
    </row>
    <row r="13"/>
    <row r="14">
      <c r="A14" s="198" t="inlineStr">
        <is>
          <t>Metric</t>
        </is>
      </c>
      <c r="B14" s="198" t="inlineStr">
        <is>
          <t>Baseline</t>
        </is>
      </c>
      <c r="C14" s="198" t="inlineStr">
        <is>
          <t>Oversampling</t>
        </is>
      </c>
      <c r="D14" s="198" t="inlineStr">
        <is>
          <t>Delta</t>
        </is>
      </c>
      <c r="E14" s="198" t="inlineStr">
        <is>
          <t>Gate result</t>
        </is>
      </c>
    </row>
    <row r="15">
      <c r="A15" t="inlineStr">
        <is>
          <t>Pooled Macro F1</t>
        </is>
      </c>
      <c r="B15" s="194" t="n">
        <v>0.5404411764705883</v>
      </c>
      <c r="C15" s="194" t="n">
        <v>0.5558672276764843</v>
      </c>
      <c r="D15" s="194" t="n">
        <v>0.01542605120589602</v>
      </c>
      <c r="E15" t="inlineStr">
        <is>
          <t>PASS</t>
        </is>
      </c>
    </row>
    <row r="16">
      <c r="A16" t="inlineStr">
        <is>
          <t>Pooled negative recall</t>
        </is>
      </c>
      <c r="B16" s="194" t="n">
        <v>0.375</v>
      </c>
      <c r="C16" s="194" t="n">
        <v>0.375</v>
      </c>
      <c r="D16" s="194" t="n">
        <v>0</v>
      </c>
      <c r="E16" t="inlineStr">
        <is>
          <t>PASS</t>
        </is>
      </c>
    </row>
    <row r="17">
      <c r="A17" t="inlineStr">
        <is>
          <t>Pooled positive recall</t>
        </is>
      </c>
      <c r="B17" s="194" t="n">
        <v>0.7058823529411765</v>
      </c>
      <c r="C17" s="194" t="n">
        <v>0.7352941176470589</v>
      </c>
      <c r="D17" s="194" t="n">
        <v>0.02941176470588236</v>
      </c>
      <c r="E17" t="inlineStr">
        <is>
          <t>Diagnostic</t>
        </is>
      </c>
    </row>
    <row r="18">
      <c r="A18" t="inlineStr">
        <is>
          <t>Mean selected-fold Macro F1 gain</t>
        </is>
      </c>
      <c r="D18" s="194" t="n">
        <v>0.01337154944964783</v>
      </c>
      <c r="E18" t="inlineStr">
        <is>
          <t>FAIL (&lt;0.015)</t>
        </is>
      </c>
    </row>
    <row r="19">
      <c r="A19" t="inlineStr">
        <is>
          <t>Minimum selected-fold Macro F1 gain</t>
        </is>
      </c>
      <c r="D19" s="194" t="n">
        <v>-0.0331069609507641</v>
      </c>
      <c r="E19" t="inlineStr">
        <is>
          <t>FAIL (&lt;-0.03)</t>
        </is>
      </c>
    </row>
    <row r="21">
      <c r="A21" t="inlineStr">
        <is>
          <t>Decision</t>
        </is>
      </c>
      <c r="B21" s="192" t="inlineStr">
        <is>
          <t>Oversampling improved pooled Qwen Macro F1, but Stage 5 was not run because both selected-fold gate criteria failed.</t>
        </is>
      </c>
    </row>
  </sheetData>
  <mergeCells count="5">
    <mergeCell ref="A12:E12"/>
    <mergeCell ref="A1:G1"/>
    <mergeCell ref="A4:G4"/>
    <mergeCell ref="A2:G2"/>
    <mergeCell ref="B21:G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997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Turkish hidden-state heads use BDI≥17 table-aligned outer validation.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155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156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156" t="n">
        <v>0.851064</v>
      </c>
      <c r="F8" s="156" t="n">
        <v>0.8</v>
      </c>
      <c r="G8" s="154" t="n">
        <v>0.666667</v>
      </c>
      <c r="H8" s="155" t="n">
        <v>1</v>
      </c>
      <c r="I8" s="156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156" t="n">
        <v>0.851064</v>
      </c>
      <c r="F14" s="154" t="n">
        <v>0.740741</v>
      </c>
      <c r="G14" s="156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156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156" t="n">
        <v>0.851064</v>
      </c>
      <c r="F16" s="154" t="n">
        <v>0.740741</v>
      </c>
      <c r="G16" s="156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156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156" t="n">
        <v>0.987179</v>
      </c>
      <c r="F20" s="156" t="n">
        <v>0.980392</v>
      </c>
      <c r="G20" s="156" t="n">
        <v>1</v>
      </c>
      <c r="H20" s="156" t="n">
        <v>0.961538</v>
      </c>
      <c r="I20" s="156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156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156" t="n">
        <v>0.987179</v>
      </c>
      <c r="F22" s="156" t="n">
        <v>0.980392</v>
      </c>
      <c r="G22" s="156" t="n">
        <v>1</v>
      </c>
      <c r="H22" s="156" t="n">
        <v>0.961538</v>
      </c>
      <c r="I22" s="156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156" t="n">
        <v>0.987179</v>
      </c>
      <c r="F23" s="156" t="n">
        <v>0.980392</v>
      </c>
      <c r="G23" s="156" t="n">
        <v>1</v>
      </c>
      <c r="H23" s="156" t="n">
        <v>0.961538</v>
      </c>
      <c r="I23" s="156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156" t="n">
        <v>0.987179</v>
      </c>
      <c r="F24" s="156" t="n">
        <v>0.980392</v>
      </c>
      <c r="G24" s="156" t="n">
        <v>1</v>
      </c>
      <c r="H24" s="156" t="n">
        <v>0.961538</v>
      </c>
      <c r="I24" s="156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156" t="n">
        <v>0.987179</v>
      </c>
      <c r="F25" s="156" t="n">
        <v>0.980392</v>
      </c>
      <c r="G25" s="156" t="n">
        <v>1</v>
      </c>
      <c r="H25" s="156" t="n">
        <v>0.961538</v>
      </c>
      <c r="I25" s="156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156" t="n">
        <v>0.987179</v>
      </c>
      <c r="F26" s="156" t="n">
        <v>0.980392</v>
      </c>
      <c r="G26" s="156" t="n">
        <v>1</v>
      </c>
      <c r="H26" s="156" t="n">
        <v>0.961538</v>
      </c>
      <c r="I26" s="156" t="n">
        <v>0.985434</v>
      </c>
      <c r="J26" s="161" t="n"/>
      <c r="K26" s="156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156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156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166" t="n">
        <v>0.759</v>
      </c>
      <c r="F30" s="166" t="n">
        <v>0.847</v>
      </c>
      <c r="G30" s="165" t="n">
        <v>0.76</v>
      </c>
      <c r="H30" s="165" t="n">
        <v>0.965</v>
      </c>
      <c r="I30" s="165" t="n">
        <v>0.613</v>
      </c>
      <c r="J30" s="166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166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166" t="n">
        <v>0.623016</v>
      </c>
      <c r="J39" s="165" t="n"/>
      <c r="K39" s="166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166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41" t="n"/>
      <c r="L52" s="41" t="n"/>
      <c r="M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  <c r="K997" s="41" t="n"/>
      <c r="L997" s="41" t="n"/>
      <c r="M997" s="41" t="n"/>
    </row>
    <row r="998" ht="15.75" customHeight="1" s="119"/>
    <row r="999" ht="15.75" customHeight="1" s="119"/>
    <row r="1000" ht="15.75" customHeight="1" s="119"/>
  </sheetData>
  <autoFilter ref="A4:M40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2026-07-23T08:24:16Z</dcterms:created>
  <dcterms:modified xsi:type="dcterms:W3CDTF">2026-07-25T17:24:36Z</dcterms:modified>
</cp:coreProperties>
</file>