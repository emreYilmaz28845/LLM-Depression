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ummary" sheetId="1" state="visible" r:id="rId1"/>
    <sheet name="Results" sheetId="2" state="visible" r:id="rId2"/>
    <sheet name="joint" sheetId="3" state="visible" r:id="rId3"/>
    <sheet name="XGBoost Head" sheetId="4" state="visible" r:id="rId4"/>
    <sheet name="Combined Results" sheetId="5" state="visible" r:id="rId5"/>
    <sheet name="DAIC PosF1 Graph" sheetId="6" state="visible" r:id="rId6"/>
    <sheet name="CMDC PosF1 Graph" sheetId="7" state="visible" r:id="rId7"/>
  </sheets>
  <definedNames>
    <definedName name="_xlnm._FilterDatabase" localSheetId="0" hidden="1">'Summary'!$A$5:$E$14</definedName>
    <definedName name="_xlnm.Print_Area" localSheetId="0">'Summary'!$A$1:$R$17</definedName>
    <definedName name="_xlnm._FilterDatabase" localSheetId="3" hidden="1">'XGBoost Head'!$A$1:$J$28</definedName>
    <definedName name="_xlnm._FilterDatabase" localSheetId="4" hidden="1">'Combined Results'!$A$4:$M$40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6">
    <font>
      <name val="Calibri"/>
      <color theme="1"/>
      <sz val="11"/>
      <scheme val="minor"/>
    </font>
    <font>
      <name val="Arial"/>
      <b val="1"/>
      <color rgb="FFFFFFFF"/>
    </font>
    <font>
      <name val="Arial"/>
      <b val="1"/>
      <color rgb="FFFFFFFF"/>
      <sz val="11"/>
    </font>
    <font>
      <name val="Arial"/>
      <b val="1"/>
      <color theme="1"/>
    </font>
    <font>
      <name val="Arial"/>
      <b val="1"/>
      <color theme="1"/>
      <sz val="11"/>
    </font>
    <font>
      <name val="Arial"/>
      <b val="1"/>
      <color rgb="FFB7472A"/>
      <sz val="11"/>
    </font>
    <font>
      <name val="Arial"/>
      <color theme="1"/>
    </font>
    <font>
      <name val="Calibri"/>
      <b val="1"/>
      <color rgb="FFFFFFFF"/>
      <sz val="16"/>
    </font>
    <font>
      <name val="Arial"/>
      <color rgb="FFB7472A"/>
      <sz val="11"/>
    </font>
    <font>
      <name val="Calibri"/>
      <i val="1"/>
      <color rgb="FF1F1F1F"/>
      <sz val="10"/>
    </font>
    <font>
      <name val="Arial"/>
      <i val="1"/>
      <color rgb="FF5F6368"/>
    </font>
    <font>
      <name val="Calibri"/>
      <color theme="1"/>
      <sz val="11"/>
    </font>
    <font>
      <name val="Aptos"/>
      <b val="1"/>
      <color theme="1"/>
      <sz val="12"/>
    </font>
    <font/>
    <font>
      <name val="Calibri"/>
      <b val="1"/>
      <color rgb="FFFFFFFF"/>
      <sz val="11"/>
    </font>
    <font>
      <name val="Arial"/>
      <b val="1"/>
      <color theme="1"/>
      <sz val="12"/>
    </font>
    <font>
      <name val="Arial"/>
      <color theme="1"/>
      <sz val="11"/>
    </font>
    <font>
      <name val="Calibri"/>
      <b val="1"/>
      <color rgb="FF7F6000"/>
      <sz val="11"/>
    </font>
    <font>
      <name val="Calibri"/>
      <b val="1"/>
      <color rgb="FF006100"/>
      <sz val="11"/>
    </font>
    <font>
      <name val="Aptos"/>
      <b val="1"/>
      <color rgb="FF111111"/>
      <sz val="11"/>
    </font>
    <font>
      <name val="Consolas"/>
      <color theme="1"/>
      <sz val="9"/>
    </font>
    <font>
      <name val="Arial"/>
      <b val="1"/>
      <color rgb="FF111111"/>
      <sz val="11"/>
    </font>
    <font>
      <name val="Calibri"/>
      <b val="1"/>
      <color rgb="FF1F4E78"/>
      <sz val="11"/>
    </font>
    <font>
      <name val="Aptos"/>
      <b val="1"/>
      <color rgb="FFC84524"/>
      <sz val="11"/>
    </font>
    <font>
      <name val="Calibri"/>
      <b val="1"/>
      <color rgb="FF7030A0"/>
      <sz val="11"/>
    </font>
    <font>
      <name val="Calibri"/>
      <b val="1"/>
      <color rgb="FF5F497A"/>
      <sz val="11"/>
    </font>
    <font>
      <name val="Calibri"/>
      <b val="1"/>
      <color rgb="FFC65911"/>
      <sz val="11"/>
    </font>
    <font>
      <name val="Oi"/>
      <b val="1"/>
      <color rgb="FFCE9178"/>
      <sz val="11"/>
    </font>
    <font>
      <name val="Calibri"/>
      <b val="1"/>
      <color rgb="FFFFFFFF"/>
      <sz val="15"/>
      <scheme val="minor"/>
    </font>
    <font>
      <name val="Calibri"/>
      <i val="1"/>
      <color theme="1"/>
      <sz val="10"/>
      <scheme val="minor"/>
    </font>
    <font>
      <name val="Calibri"/>
      <b val="1"/>
      <color rgb="FFFFFFFF"/>
      <scheme val="minor"/>
    </font>
    <font>
      <name val="Calibri"/>
      <b val="1"/>
      <color rgb="FF006100"/>
      <scheme val="minor"/>
    </font>
    <font>
      <name val="Calibri"/>
      <b val="1"/>
      <color rgb="FFFFFFFF"/>
      <sz val="20"/>
    </font>
    <font>
      <name val="Calibri"/>
      <color rgb="FF1F1F1F"/>
      <sz val="10"/>
    </font>
    <font>
      <name val="Calibri"/>
      <b val="1"/>
      <color rgb="FF006100"/>
      <sz val="10"/>
    </font>
    <font>
      <name val="Calibri"/>
      <i val="1"/>
      <color rgb="FF666666"/>
      <sz val="9"/>
    </font>
  </fonts>
  <fills count="31">
    <fill>
      <patternFill/>
    </fill>
    <fill>
      <patternFill patternType="lightGray"/>
    </fill>
    <fill>
      <patternFill patternType="solid">
        <fgColor rgb="FF2F2F2F"/>
        <bgColor rgb="FF2F2F2F"/>
      </patternFill>
    </fill>
    <fill>
      <patternFill patternType="solid">
        <fgColor rgb="FFEAF7EC"/>
        <bgColor rgb="FFEAF7EC"/>
      </patternFill>
    </fill>
    <fill>
      <patternFill patternType="solid">
        <fgColor rgb="FFE8EEF7"/>
        <bgColor rgb="FFE8EEF7"/>
      </patternFill>
    </fill>
    <fill>
      <patternFill patternType="solid">
        <fgColor rgb="FF1F4E78"/>
        <bgColor rgb="FF1F4E78"/>
      </patternFill>
    </fill>
    <fill>
      <patternFill patternType="solid">
        <fgColor rgb="FFD9EAF7"/>
        <bgColor rgb="FFD9EAF7"/>
      </patternFill>
    </fill>
    <fill>
      <patternFill patternType="solid">
        <fgColor rgb="FF203864"/>
        <bgColor rgb="FF203864"/>
      </patternFill>
    </fill>
    <fill>
      <patternFill patternType="solid">
        <fgColor rgb="FFF3EAF7"/>
        <bgColor rgb="FFF3EAF7"/>
      </patternFill>
    </fill>
    <fill>
      <patternFill patternType="solid">
        <fgColor rgb="FFEAF2F8"/>
        <bgColor rgb="FFEAF2F8"/>
      </patternFill>
    </fill>
    <fill>
      <patternFill patternType="solid">
        <fgColor rgb="FFFDF1E3"/>
        <bgColor rgb="FFFDF1E3"/>
      </patternFill>
    </fill>
    <fill>
      <patternFill patternType="solid">
        <fgColor rgb="FFC6EFCE"/>
        <bgColor rgb="FFC6EFCE"/>
      </patternFill>
    </fill>
    <fill>
      <patternFill patternType="solid">
        <fgColor rgb="FFE7EDF7"/>
        <bgColor rgb="FFE7EDF7"/>
      </patternFill>
    </fill>
    <fill>
      <patternFill patternType="solid">
        <fgColor rgb="FFFCE9F0"/>
        <bgColor rgb="FFFCE9F0"/>
      </patternFill>
    </fill>
    <fill>
      <patternFill patternType="solid">
        <fgColor rgb="FFE4DFEC"/>
        <bgColor rgb="FFE4DFEC"/>
      </patternFill>
    </fill>
    <fill>
      <patternFill patternType="solid">
        <fgColor rgb="FFFCE4D6"/>
        <bgColor rgb="FFFCE4D6"/>
      </patternFill>
    </fill>
    <fill>
      <patternFill patternType="solid">
        <fgColor rgb="FFE8F5E9"/>
        <bgColor rgb="FFE8F5E9"/>
      </patternFill>
    </fill>
    <fill>
      <patternFill patternType="solid">
        <fgColor rgb="FFE8F4EA"/>
        <bgColor rgb="FFE8F4EA"/>
      </patternFill>
    </fill>
    <fill>
      <patternFill patternType="solid">
        <fgColor rgb="FFFFF4E5"/>
        <bgColor rgb="FFFFF4E5"/>
      </patternFill>
    </fill>
    <fill>
      <patternFill patternType="solid">
        <fgColor rgb="FFFCE8E6"/>
        <bgColor rgb="FFFCE8E6"/>
      </patternFill>
    </fill>
    <fill>
      <patternFill patternType="solid">
        <fgColor rgb="FFFFFFFF"/>
        <bgColor rgb="FFFFFFFF"/>
      </patternFill>
    </fill>
    <fill>
      <patternFill patternType="solid">
        <fgColor rgb="FFE7EDF7"/>
      </patternFill>
    </fill>
    <fill>
      <patternFill patternType="solid">
        <fgColor rgb="FFE8F4EA"/>
      </patternFill>
    </fill>
    <fill>
      <patternFill patternType="solid">
        <fgColor rgb="FFFFF4E5"/>
      </patternFill>
    </fill>
    <fill>
      <patternFill patternType="solid">
        <fgColor rgb="FFEAF2F8"/>
      </patternFill>
    </fill>
    <fill>
      <patternFill patternType="solid">
        <fgColor rgb="FFE8F5E9"/>
      </patternFill>
    </fill>
    <fill>
      <patternFill patternType="solid">
        <fgColor rgb="FFFCE8E6"/>
      </patternFill>
    </fill>
    <fill>
      <patternFill patternType="solid">
        <fgColor rgb="FFC6EFCE"/>
      </patternFill>
    </fill>
    <fill>
      <patternFill patternType="solid">
        <fgColor rgb="FF203864"/>
      </patternFill>
    </fill>
    <fill>
      <patternFill patternType="solid">
        <fgColor rgb="FFD9EAF7"/>
      </patternFill>
    </fill>
    <fill>
      <patternFill patternType="solid">
        <fgColor rgb="FFF2F2F2"/>
      </patternFill>
    </fill>
  </fills>
  <borders count="23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left style="thin">
        <color rgb="FFCCCCCC"/>
      </left>
      <right style="thin">
        <color rgb="FFCCCCCC"/>
      </right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top style="medium">
        <color rgb="FF7F7F7F"/>
      </top>
      <bottom style="hair">
        <color rgb="FFD9D9D9"/>
      </bottom>
    </border>
    <border>
      <left style="thin">
        <color rgb="FF70AD47"/>
      </left>
      <right style="thin">
        <color rgb="FF70AD47"/>
      </right>
      <top style="thin">
        <color rgb="FF70AD47"/>
      </top>
      <bottom style="thin">
        <color rgb="FF70AD47"/>
      </bottom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bottom style="hair">
        <color rgb="FFD9D9D9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CCCCCC"/>
      </left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</borders>
  <cellStyleXfs count="1">
    <xf numFmtId="0" fontId="0" fillId="0" borderId="0"/>
  </cellStyleXfs>
  <cellXfs count="18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/>
    </xf>
    <xf numFmtId="0" fontId="5" fillId="4" borderId="1" applyAlignment="1" pivotButton="0" quotePrefix="0" xfId="0">
      <alignment horizontal="left" vertical="center"/>
    </xf>
    <xf numFmtId="0" fontId="6" fillId="3" borderId="0" applyAlignment="1" pivotButton="0" quotePrefix="0" xfId="0">
      <alignment horizontal="left"/>
    </xf>
    <xf numFmtId="0" fontId="7" fillId="5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/>
    </xf>
    <xf numFmtId="164" fontId="8" fillId="4" borderId="1" applyAlignment="1" pivotButton="0" quotePrefix="0" xfId="0">
      <alignment horizontal="center" vertical="center"/>
    </xf>
    <xf numFmtId="0" fontId="9" fillId="6" borderId="0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/>
    </xf>
    <xf numFmtId="0" fontId="11" fillId="0" borderId="0" applyAlignment="1" pivotButton="0" quotePrefix="0" xfId="0">
      <alignment vertical="bottom" wrapText="1"/>
    </xf>
    <xf numFmtId="0" fontId="8" fillId="4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0" fontId="13" fillId="0" borderId="3" pivotButton="0" quotePrefix="0" xfId="0"/>
    <xf numFmtId="0" fontId="14" fillId="7" borderId="4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/>
    </xf>
    <xf numFmtId="0" fontId="14" fillId="7" borderId="5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left"/>
    </xf>
    <xf numFmtId="0" fontId="6" fillId="8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left"/>
    </xf>
    <xf numFmtId="0" fontId="16" fillId="4" borderId="1" applyAlignment="1" pivotButton="0" quotePrefix="0" xfId="0">
      <alignment horizontal="left" vertical="center"/>
    </xf>
    <xf numFmtId="0" fontId="14" fillId="7" borderId="6" applyAlignment="1" pivotButton="0" quotePrefix="0" xfId="0">
      <alignment horizontal="center" vertical="center" wrapText="1"/>
    </xf>
    <xf numFmtId="164" fontId="16" fillId="4" borderId="1" applyAlignment="1" pivotButton="0" quotePrefix="0" xfId="0">
      <alignment horizontal="center" vertical="center"/>
    </xf>
    <xf numFmtId="0" fontId="11" fillId="9" borderId="7" applyAlignment="1" pivotButton="0" quotePrefix="0" xfId="0">
      <alignment vertical="center" wrapText="1"/>
    </xf>
    <xf numFmtId="0" fontId="17" fillId="9" borderId="7" applyAlignment="1" pivotButton="0" quotePrefix="0" xfId="0">
      <alignment vertical="center" wrapText="1"/>
    </xf>
    <xf numFmtId="0" fontId="3" fillId="10" borderId="0" applyAlignment="1" pivotButton="0" quotePrefix="0" xfId="0">
      <alignment horizontal="center"/>
    </xf>
    <xf numFmtId="0" fontId="6" fillId="10" borderId="0" applyAlignment="1" pivotButton="0" quotePrefix="0" xfId="0">
      <alignment horizontal="left"/>
    </xf>
    <xf numFmtId="164" fontId="18" fillId="11" borderId="8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/>
    </xf>
    <xf numFmtId="164" fontId="11" fillId="9" borderId="7" applyAlignment="1" pivotButton="0" quotePrefix="0" xfId="0">
      <alignment horizontal="center" vertical="center" wrapText="1"/>
    </xf>
    <xf numFmtId="0" fontId="13" fillId="0" borderId="9" pivotButton="0" quotePrefix="0" xfId="0"/>
    <xf numFmtId="0" fontId="19" fillId="12" borderId="10" applyAlignment="1" pivotButton="0" quotePrefix="0" xfId="0">
      <alignment horizontal="left" vertical="center"/>
    </xf>
    <xf numFmtId="0" fontId="10" fillId="10" borderId="0" applyAlignment="1" pivotButton="0" quotePrefix="0" xfId="0">
      <alignment horizontal="left"/>
    </xf>
    <xf numFmtId="0" fontId="20" fillId="9" borderId="7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/>
    </xf>
    <xf numFmtId="0" fontId="19" fillId="12" borderId="1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11" fillId="0" borderId="0" pivotButton="0" quotePrefix="0" xfId="0"/>
    <xf numFmtId="164" fontId="8" fillId="3" borderId="1" applyAlignment="1" pivotButton="0" quotePrefix="0" xfId="0">
      <alignment horizontal="center" vertical="center"/>
    </xf>
    <xf numFmtId="0" fontId="21" fillId="12" borderId="11" applyAlignment="1" pivotButton="0" quotePrefix="0" xfId="0">
      <alignment vertical="center"/>
    </xf>
    <xf numFmtId="0" fontId="8" fillId="3" borderId="1" applyAlignment="1" pivotButton="0" quotePrefix="0" xfId="0">
      <alignment horizontal="center" vertical="center"/>
    </xf>
    <xf numFmtId="0" fontId="11" fillId="9" borderId="0" applyAlignment="1" pivotButton="0" quotePrefix="0" xfId="0">
      <alignment vertical="center" wrapText="1"/>
    </xf>
    <xf numFmtId="0" fontId="19" fillId="12" borderId="11" applyAlignment="1" pivotButton="0" quotePrefix="0" xfId="0">
      <alignment vertical="center"/>
    </xf>
    <xf numFmtId="0" fontId="17" fillId="9" borderId="0" applyAlignment="1" pivotButton="0" quotePrefix="0" xfId="0">
      <alignment vertical="center" wrapText="1"/>
    </xf>
    <xf numFmtId="164" fontId="11" fillId="9" borderId="0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left" vertical="center"/>
    </xf>
    <xf numFmtId="164" fontId="16" fillId="3" borderId="1" applyAlignment="1" pivotButton="0" quotePrefix="0" xfId="0">
      <alignment horizontal="center" vertical="center"/>
    </xf>
    <xf numFmtId="0" fontId="20" fillId="9" borderId="0" applyAlignment="1" pivotButton="0" quotePrefix="0" xfId="0">
      <alignment horizontal="center" vertical="center" wrapText="1"/>
    </xf>
    <xf numFmtId="0" fontId="19" fillId="12" borderId="12" applyAlignment="1" pivotButton="0" quotePrefix="0" xfId="0">
      <alignment horizontal="left" vertical="center"/>
    </xf>
    <xf numFmtId="0" fontId="4" fillId="8" borderId="2" applyAlignment="1" pivotButton="0" quotePrefix="0" xfId="0">
      <alignment horizontal="center" vertical="center"/>
    </xf>
    <xf numFmtId="0" fontId="16" fillId="8" borderId="1" applyAlignment="1" pivotButton="0" quotePrefix="0" xfId="0">
      <alignment horizontal="left" vertical="center"/>
    </xf>
    <xf numFmtId="164" fontId="16" fillId="8" borderId="1" applyAlignment="1" pivotButton="0" quotePrefix="0" xfId="0">
      <alignment horizontal="center" vertical="center"/>
    </xf>
    <xf numFmtId="0" fontId="19" fillId="12" borderId="13" applyAlignment="1" pivotButton="0" quotePrefix="0" xfId="0">
      <alignment horizontal="left" vertical="center"/>
    </xf>
    <xf numFmtId="0" fontId="22" fillId="9" borderId="0" applyAlignment="1" pivotButton="0" quotePrefix="0" xfId="0">
      <alignment vertical="center" wrapText="1"/>
    </xf>
    <xf numFmtId="0" fontId="19" fillId="12" borderId="14" applyAlignment="1" pivotButton="0" quotePrefix="0" xfId="0">
      <alignment horizontal="left" vertical="center"/>
    </xf>
    <xf numFmtId="0" fontId="23" fillId="12" borderId="14" applyAlignment="1" pivotButton="0" quotePrefix="0" xfId="0">
      <alignment vertical="center"/>
    </xf>
    <xf numFmtId="0" fontId="23" fillId="12" borderId="14" applyAlignment="1" pivotButton="0" quotePrefix="0" xfId="0">
      <alignment vertical="center"/>
    </xf>
    <xf numFmtId="0" fontId="4" fillId="13" borderId="2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164" fontId="16" fillId="13" borderId="1" applyAlignment="1" pivotButton="0" quotePrefix="0" xfId="0">
      <alignment horizontal="center" vertical="center"/>
    </xf>
    <xf numFmtId="0" fontId="19" fillId="12" borderId="15" applyAlignment="1" pivotButton="0" quotePrefix="0" xfId="0">
      <alignment horizontal="left" vertical="center"/>
    </xf>
    <xf numFmtId="0" fontId="24" fillId="9" borderId="0" applyAlignment="1" pivotButton="0" quotePrefix="0" xfId="0">
      <alignment vertical="center" wrapText="1"/>
    </xf>
    <xf numFmtId="0" fontId="25" fillId="14" borderId="0" applyAlignment="1" pivotButton="0" quotePrefix="0" xfId="0">
      <alignment vertical="center" wrapText="1"/>
    </xf>
    <xf numFmtId="0" fontId="19" fillId="12" borderId="14" applyAlignment="1" pivotButton="0" quotePrefix="0" xfId="0">
      <alignment vertical="center"/>
    </xf>
    <xf numFmtId="0" fontId="26" fillId="15" borderId="0" applyAlignment="1" pivotButton="0" quotePrefix="0" xfId="0">
      <alignment vertical="center" wrapText="1"/>
    </xf>
    <xf numFmtId="0" fontId="19" fillId="12" borderId="14" applyAlignment="1" pivotButton="0" quotePrefix="0" xfId="0">
      <alignment vertical="center"/>
    </xf>
    <xf numFmtId="0" fontId="11" fillId="16" borderId="7" applyAlignment="1" pivotButton="0" quotePrefix="0" xfId="0">
      <alignment vertical="center" wrapText="1"/>
    </xf>
    <xf numFmtId="0" fontId="17" fillId="16" borderId="7" applyAlignment="1" pivotButton="0" quotePrefix="0" xfId="0">
      <alignment vertical="center" wrapText="1"/>
    </xf>
    <xf numFmtId="164" fontId="11" fillId="16" borderId="7" applyAlignment="1" pivotButton="0" quotePrefix="0" xfId="0">
      <alignment horizontal="center" vertical="center" wrapText="1"/>
    </xf>
    <xf numFmtId="0" fontId="20" fillId="16" borderId="7" applyAlignment="1" pivotButton="0" quotePrefix="0" xfId="0">
      <alignment horizontal="center" vertical="center" wrapText="1"/>
    </xf>
    <xf numFmtId="0" fontId="11" fillId="16" borderId="0" applyAlignment="1" pivotButton="0" quotePrefix="0" xfId="0">
      <alignment vertical="center" wrapText="1"/>
    </xf>
    <xf numFmtId="0" fontId="17" fillId="16" borderId="0" applyAlignment="1" pivotButton="0" quotePrefix="0" xfId="0">
      <alignment vertical="center" wrapText="1"/>
    </xf>
    <xf numFmtId="164" fontId="11" fillId="16" borderId="0" applyAlignment="1" pivotButton="0" quotePrefix="0" xfId="0">
      <alignment horizontal="center" vertical="center" wrapText="1"/>
    </xf>
    <xf numFmtId="0" fontId="20" fillId="16" borderId="0" applyAlignment="1" pivotButton="0" quotePrefix="0" xfId="0">
      <alignment horizontal="center" vertical="center" wrapText="1"/>
    </xf>
    <xf numFmtId="0" fontId="22" fillId="16" borderId="0" applyAlignment="1" pivotButton="0" quotePrefix="0" xfId="0">
      <alignment vertical="center" wrapText="1"/>
    </xf>
    <xf numFmtId="0" fontId="19" fillId="17" borderId="13" applyAlignment="1" pivotButton="0" quotePrefix="0" xfId="0">
      <alignment horizontal="left" vertical="center"/>
    </xf>
    <xf numFmtId="0" fontId="19" fillId="17" borderId="14" applyAlignment="1" pivotButton="0" quotePrefix="0" xfId="0">
      <alignment horizontal="left" vertical="center"/>
    </xf>
    <xf numFmtId="0" fontId="19" fillId="17" borderId="14" applyAlignment="1" pivotButton="0" quotePrefix="0" xfId="0">
      <alignment vertical="center"/>
    </xf>
    <xf numFmtId="0" fontId="19" fillId="17" borderId="14" applyAlignment="1" pivotButton="0" quotePrefix="0" xfId="0">
      <alignment vertical="center"/>
    </xf>
    <xf numFmtId="0" fontId="24" fillId="16" borderId="0" applyAlignment="1" pivotButton="0" quotePrefix="0" xfId="0">
      <alignment vertical="center" wrapText="1"/>
    </xf>
    <xf numFmtId="0" fontId="19" fillId="17" borderId="15" applyAlignment="1" pivotButton="0" quotePrefix="0" xfId="0">
      <alignment horizontal="left" vertical="center"/>
    </xf>
    <xf numFmtId="0" fontId="23" fillId="17" borderId="14" applyAlignment="1" pivotButton="0" quotePrefix="0" xfId="0">
      <alignment vertical="center"/>
    </xf>
    <xf numFmtId="0" fontId="23" fillId="17" borderId="14" applyAlignment="1" pivotButton="0" quotePrefix="0" xfId="0">
      <alignment vertical="center"/>
    </xf>
    <xf numFmtId="0" fontId="11" fillId="18" borderId="7" applyAlignment="1" pivotButton="0" quotePrefix="0" xfId="0">
      <alignment vertical="center" wrapText="1"/>
    </xf>
    <xf numFmtId="0" fontId="22" fillId="18" borderId="7" applyAlignment="1" pivotButton="0" quotePrefix="0" xfId="0">
      <alignment vertical="center" wrapText="1"/>
    </xf>
    <xf numFmtId="164" fontId="11" fillId="18" borderId="7" applyAlignment="1" pivotButton="0" quotePrefix="0" xfId="0">
      <alignment horizontal="center" vertical="center" wrapText="1"/>
    </xf>
    <xf numFmtId="0" fontId="20" fillId="18" borderId="7" applyAlignment="1" pivotButton="0" quotePrefix="0" xfId="0">
      <alignment horizontal="center" vertical="center" wrapText="1"/>
    </xf>
    <xf numFmtId="0" fontId="11" fillId="18" borderId="0" applyAlignment="1" pivotButton="0" quotePrefix="0" xfId="0">
      <alignment vertical="center" wrapText="1"/>
    </xf>
    <xf numFmtId="0" fontId="22" fillId="18" borderId="0" applyAlignment="1" pivotButton="0" quotePrefix="0" xfId="0">
      <alignment vertical="center" wrapText="1"/>
    </xf>
    <xf numFmtId="164" fontId="11" fillId="18" borderId="0" applyAlignment="1" pivotButton="0" quotePrefix="0" xfId="0">
      <alignment horizontal="center" vertical="center" wrapText="1"/>
    </xf>
    <xf numFmtId="0" fontId="20" fillId="18" borderId="0" applyAlignment="1" pivotButton="0" quotePrefix="0" xfId="0">
      <alignment horizontal="center" vertical="center" wrapText="1"/>
    </xf>
    <xf numFmtId="0" fontId="11" fillId="19" borderId="7" applyAlignment="1" pivotButton="0" quotePrefix="0" xfId="0">
      <alignment vertical="center" wrapText="1"/>
    </xf>
    <xf numFmtId="0" fontId="22" fillId="19" borderId="7" applyAlignment="1" pivotButton="0" quotePrefix="0" xfId="0">
      <alignment vertical="center" wrapText="1"/>
    </xf>
    <xf numFmtId="164" fontId="11" fillId="19" borderId="7" applyAlignment="1" pivotButton="0" quotePrefix="0" xfId="0">
      <alignment horizontal="center" vertical="center" wrapText="1"/>
    </xf>
    <xf numFmtId="0" fontId="20" fillId="19" borderId="7" applyAlignment="1" pivotButton="0" quotePrefix="0" xfId="0">
      <alignment horizontal="center" vertical="center" wrapText="1"/>
    </xf>
    <xf numFmtId="0" fontId="11" fillId="19" borderId="0" applyAlignment="1" pivotButton="0" quotePrefix="0" xfId="0">
      <alignment vertical="center" wrapText="1"/>
    </xf>
    <xf numFmtId="0" fontId="22" fillId="19" borderId="0" applyAlignment="1" pivotButton="0" quotePrefix="0" xfId="0">
      <alignment vertical="center" wrapText="1"/>
    </xf>
    <xf numFmtId="164" fontId="11" fillId="19" borderId="0" applyAlignment="1" pivotButton="0" quotePrefix="0" xfId="0">
      <alignment horizontal="center" vertical="center" wrapText="1"/>
    </xf>
    <xf numFmtId="0" fontId="20" fillId="19" borderId="0" applyAlignment="1" pivotButton="0" quotePrefix="0" xfId="0">
      <alignment horizontal="center" vertical="center" wrapText="1"/>
    </xf>
    <xf numFmtId="0" fontId="11" fillId="19" borderId="16" applyAlignment="1" pivotButton="0" quotePrefix="0" xfId="0">
      <alignment vertical="center" wrapText="1"/>
    </xf>
    <xf numFmtId="0" fontId="22" fillId="19" borderId="16" applyAlignment="1" pivotButton="0" quotePrefix="0" xfId="0">
      <alignment vertical="center" wrapText="1"/>
    </xf>
    <xf numFmtId="164" fontId="11" fillId="19" borderId="16" applyAlignment="1" pivotButton="0" quotePrefix="0" xfId="0">
      <alignment horizontal="center" vertical="center" wrapText="1"/>
    </xf>
    <xf numFmtId="0" fontId="19" fillId="17" borderId="17" applyAlignment="1" pivotButton="0" quotePrefix="0" xfId="0">
      <alignment horizontal="left" vertical="center"/>
    </xf>
    <xf numFmtId="0" fontId="19" fillId="17" borderId="18" applyAlignment="1" pivotButton="0" quotePrefix="0" xfId="0">
      <alignment horizontal="left" vertical="center"/>
    </xf>
    <xf numFmtId="0" fontId="20" fillId="19" borderId="16" applyAlignment="1" pivotButton="0" quotePrefix="0" xfId="0">
      <alignment horizontal="center" vertical="center" wrapText="1"/>
    </xf>
    <xf numFmtId="0" fontId="23" fillId="17" borderId="18" applyAlignment="1" pivotButton="0" quotePrefix="0" xfId="0">
      <alignment vertical="center"/>
    </xf>
    <xf numFmtId="0" fontId="23" fillId="17" borderId="18" applyAlignment="1" pivotButton="0" quotePrefix="0" xfId="0">
      <alignment vertical="center"/>
    </xf>
    <xf numFmtId="0" fontId="19" fillId="17" borderId="19" applyAlignment="1" pivotButton="0" quotePrefix="0" xfId="0">
      <alignment horizontal="left" vertical="center"/>
    </xf>
    <xf numFmtId="0" fontId="27" fillId="2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6" borderId="0" applyAlignment="1" pivotButton="0" quotePrefix="0" xfId="0">
      <alignment horizontal="center" vertical="center"/>
    </xf>
    <xf numFmtId="0" fontId="30" fillId="7" borderId="20" applyAlignment="1" pivotButton="0" quotePrefix="0" xfId="0">
      <alignment horizontal="center" vertical="center"/>
    </xf>
    <xf numFmtId="0" fontId="11" fillId="0" borderId="20" applyAlignment="1" pivotButton="0" quotePrefix="0" xfId="0">
      <alignment horizontal="center" vertical="center"/>
    </xf>
    <xf numFmtId="164" fontId="11" fillId="0" borderId="20" applyAlignment="1" pivotButton="0" quotePrefix="0" xfId="0">
      <alignment horizontal="center" vertical="center"/>
    </xf>
    <xf numFmtId="164" fontId="31" fillId="11" borderId="2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9" pivotButton="0" quotePrefix="0" xfId="0"/>
    <xf numFmtId="0" fontId="0" fillId="0" borderId="3" pivotButton="0" quotePrefix="0" xfId="0"/>
    <xf numFmtId="0" fontId="4" fillId="8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19" fillId="21" borderId="10" applyAlignment="1" pivotButton="0" quotePrefix="0" xfId="0">
      <alignment horizontal="left" vertical="center"/>
    </xf>
    <xf numFmtId="0" fontId="19" fillId="21" borderId="11" applyAlignment="1" pivotButton="0" quotePrefix="0" xfId="0">
      <alignment horizontal="left" vertical="center"/>
    </xf>
    <xf numFmtId="0" fontId="21" fillId="21" borderId="11" applyAlignment="1" pivotButton="0" quotePrefix="0" xfId="0">
      <alignment vertical="center"/>
    </xf>
    <xf numFmtId="0" fontId="19" fillId="21" borderId="11" applyAlignment="1" pivotButton="0" quotePrefix="0" xfId="0">
      <alignment vertical="center"/>
    </xf>
    <xf numFmtId="0" fontId="19" fillId="21" borderId="12" applyAlignment="1" pivotButton="0" quotePrefix="0" xfId="0">
      <alignment horizontal="left" vertical="center"/>
    </xf>
    <xf numFmtId="0" fontId="19" fillId="21" borderId="13" applyAlignment="1" pivotButton="0" quotePrefix="0" xfId="0">
      <alignment horizontal="left" vertical="center"/>
    </xf>
    <xf numFmtId="0" fontId="19" fillId="21" borderId="14" applyAlignment="1" pivotButton="0" quotePrefix="0" xfId="0">
      <alignment horizontal="left" vertical="center"/>
    </xf>
    <xf numFmtId="0" fontId="23" fillId="21" borderId="14" applyAlignment="1" pivotButton="0" quotePrefix="0" xfId="0">
      <alignment vertical="center"/>
    </xf>
    <xf numFmtId="0" fontId="19" fillId="21" borderId="15" applyAlignment="1" pivotButton="0" quotePrefix="0" xfId="0">
      <alignment horizontal="left" vertical="center"/>
    </xf>
    <xf numFmtId="0" fontId="19" fillId="22" borderId="10" applyAlignment="1" pivotButton="0" quotePrefix="0" xfId="0">
      <alignment horizontal="left" vertical="center"/>
    </xf>
    <xf numFmtId="0" fontId="19" fillId="22" borderId="11" applyAlignment="1" pivotButton="0" quotePrefix="0" xfId="0">
      <alignment horizontal="left" vertical="center"/>
    </xf>
    <xf numFmtId="0" fontId="21" fillId="22" borderId="11" applyAlignment="1" pivotButton="0" quotePrefix="0" xfId="0">
      <alignment vertical="center"/>
    </xf>
    <xf numFmtId="0" fontId="19" fillId="22" borderId="11" applyAlignment="1" pivotButton="0" quotePrefix="0" xfId="0">
      <alignment vertical="center"/>
    </xf>
    <xf numFmtId="0" fontId="19" fillId="22" borderId="12" applyAlignment="1" pivotButton="0" quotePrefix="0" xfId="0">
      <alignment horizontal="left" vertical="center"/>
    </xf>
    <xf numFmtId="0" fontId="19" fillId="22" borderId="13" applyAlignment="1" pivotButton="0" quotePrefix="0" xfId="0">
      <alignment horizontal="left" vertical="center"/>
    </xf>
    <xf numFmtId="0" fontId="19" fillId="22" borderId="14" applyAlignment="1" pivotButton="0" quotePrefix="0" xfId="0">
      <alignment horizontal="left" vertical="center"/>
    </xf>
    <xf numFmtId="0" fontId="23" fillId="22" borderId="14" applyAlignment="1" pivotButton="0" quotePrefix="0" xfId="0">
      <alignment vertical="center"/>
    </xf>
    <xf numFmtId="0" fontId="19" fillId="22" borderId="15" applyAlignment="1" pivotButton="0" quotePrefix="0" xfId="0">
      <alignment horizontal="left" vertical="center"/>
    </xf>
    <xf numFmtId="0" fontId="19" fillId="23" borderId="10" applyAlignment="1" pivotButton="0" quotePrefix="0" xfId="0">
      <alignment horizontal="left" vertical="center"/>
    </xf>
    <xf numFmtId="0" fontId="19" fillId="23" borderId="11" applyAlignment="1" pivotButton="0" quotePrefix="0" xfId="0">
      <alignment horizontal="left" vertical="center"/>
    </xf>
    <xf numFmtId="0" fontId="21" fillId="23" borderId="11" applyAlignment="1" pivotButton="0" quotePrefix="0" xfId="0">
      <alignment vertical="center"/>
    </xf>
    <xf numFmtId="0" fontId="19" fillId="23" borderId="11" applyAlignment="1" pivotButton="0" quotePrefix="0" xfId="0">
      <alignment vertical="center"/>
    </xf>
    <xf numFmtId="0" fontId="19" fillId="23" borderId="12" applyAlignment="1" pivotButton="0" quotePrefix="0" xfId="0">
      <alignment horizontal="left" vertical="center"/>
    </xf>
    <xf numFmtId="0" fontId="19" fillId="23" borderId="13" applyAlignment="1" pivotButton="0" quotePrefix="0" xfId="0">
      <alignment horizontal="left" vertical="center"/>
    </xf>
    <xf numFmtId="0" fontId="19" fillId="23" borderId="14" applyAlignment="1" pivotButton="0" quotePrefix="0" xfId="0">
      <alignment horizontal="left" vertical="center"/>
    </xf>
    <xf numFmtId="0" fontId="23" fillId="23" borderId="14" applyAlignment="1" pivotButton="0" quotePrefix="0" xfId="0">
      <alignment vertical="center"/>
    </xf>
    <xf numFmtId="0" fontId="19" fillId="23" borderId="15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 wrapText="1"/>
    </xf>
    <xf numFmtId="0" fontId="11" fillId="24" borderId="0" applyAlignment="1" pivotButton="0" quotePrefix="0" xfId="0">
      <alignment vertical="center" wrapText="1"/>
    </xf>
    <xf numFmtId="0" fontId="22" fillId="24" borderId="0" applyAlignment="1" pivotButton="0" quotePrefix="0" xfId="0">
      <alignment vertical="center" wrapText="1"/>
    </xf>
    <xf numFmtId="164" fontId="11" fillId="24" borderId="0" applyAlignment="1" pivotButton="0" quotePrefix="0" xfId="0">
      <alignment horizontal="center" vertical="center" wrapText="1"/>
    </xf>
    <xf numFmtId="164" fontId="18" fillId="27" borderId="8" applyAlignment="1" pivotButton="0" quotePrefix="0" xfId="0">
      <alignment horizontal="center" vertical="center" wrapText="1"/>
    </xf>
    <xf numFmtId="164" fontId="11" fillId="27" borderId="0" applyAlignment="1" pivotButton="0" quotePrefix="0" xfId="0">
      <alignment horizontal="center" vertical="center" wrapText="1"/>
    </xf>
    <xf numFmtId="0" fontId="20" fillId="24" borderId="0" applyAlignment="1" pivotButton="0" quotePrefix="0" xfId="0">
      <alignment horizontal="center" vertical="center" wrapText="1"/>
    </xf>
    <xf numFmtId="164" fontId="18" fillId="24" borderId="8" applyAlignment="1" pivotButton="0" quotePrefix="0" xfId="0">
      <alignment horizontal="center" vertical="center" wrapText="1"/>
    </xf>
    <xf numFmtId="0" fontId="11" fillId="25" borderId="0" applyAlignment="1" pivotButton="0" quotePrefix="0" xfId="0">
      <alignment vertical="center" wrapText="1"/>
    </xf>
    <xf numFmtId="0" fontId="22" fillId="25" borderId="0" applyAlignment="1" pivotButton="0" quotePrefix="0" xfId="0">
      <alignment vertical="center" wrapText="1"/>
    </xf>
    <xf numFmtId="164" fontId="11" fillId="25" borderId="0" applyAlignment="1" pivotButton="0" quotePrefix="0" xfId="0">
      <alignment horizontal="center" vertical="center" wrapText="1"/>
    </xf>
    <xf numFmtId="0" fontId="20" fillId="25" borderId="0" applyAlignment="1" pivotButton="0" quotePrefix="0" xfId="0">
      <alignment horizontal="center" vertical="center" wrapText="1"/>
    </xf>
    <xf numFmtId="0" fontId="11" fillId="23" borderId="7" applyAlignment="1" pivotButton="0" quotePrefix="0" xfId="0">
      <alignment vertical="center" wrapText="1"/>
    </xf>
    <xf numFmtId="0" fontId="22" fillId="23" borderId="7" applyAlignment="1" pivotButton="0" quotePrefix="0" xfId="0">
      <alignment vertical="center" wrapText="1"/>
    </xf>
    <xf numFmtId="164" fontId="11" fillId="23" borderId="7" applyAlignment="1" pivotButton="0" quotePrefix="0" xfId="0">
      <alignment horizontal="center" vertical="center" wrapText="1"/>
    </xf>
    <xf numFmtId="164" fontId="11" fillId="27" borderId="7" applyAlignment="1" pivotButton="0" quotePrefix="0" xfId="0">
      <alignment horizontal="center" vertical="center" wrapText="1"/>
    </xf>
    <xf numFmtId="0" fontId="20" fillId="23" borderId="7" applyAlignment="1" pivotButton="0" quotePrefix="0" xfId="0">
      <alignment horizontal="center" vertical="center" wrapText="1"/>
    </xf>
    <xf numFmtId="0" fontId="11" fillId="26" borderId="7" applyAlignment="1" pivotButton="0" quotePrefix="0" xfId="0">
      <alignment vertical="center" wrapText="1"/>
    </xf>
    <xf numFmtId="0" fontId="22" fillId="26" borderId="7" applyAlignment="1" pivotButton="0" quotePrefix="0" xfId="0">
      <alignment vertical="center" wrapText="1"/>
    </xf>
    <xf numFmtId="164" fontId="11" fillId="26" borderId="7" applyAlignment="1" pivotButton="0" quotePrefix="0" xfId="0">
      <alignment horizontal="center" vertical="center" wrapText="1"/>
    </xf>
    <xf numFmtId="0" fontId="20" fillId="26" borderId="7" applyAlignment="1" pivotButton="0" quotePrefix="0" xfId="0">
      <alignment horizontal="center" vertical="center" wrapText="1"/>
    </xf>
    <xf numFmtId="0" fontId="32" fillId="28" borderId="0" applyAlignment="1" pivotButton="0" quotePrefix="0" xfId="0">
      <alignment horizontal="center" vertical="center"/>
    </xf>
    <xf numFmtId="0" fontId="9" fillId="29" borderId="0" applyAlignment="1" pivotButton="0" quotePrefix="0" xfId="0">
      <alignment horizontal="left" vertical="center" wrapText="1"/>
    </xf>
    <xf numFmtId="0" fontId="14" fillId="28" borderId="22" applyAlignment="1" pivotButton="0" quotePrefix="0" xfId="0">
      <alignment horizontal="center" vertical="center"/>
    </xf>
    <xf numFmtId="0" fontId="33" fillId="24" borderId="22" applyAlignment="1" pivotButton="0" quotePrefix="0" xfId="0">
      <alignment horizontal="left" vertical="center"/>
    </xf>
    <xf numFmtId="164" fontId="33" fillId="24" borderId="22" applyAlignment="1" pivotButton="0" quotePrefix="0" xfId="0">
      <alignment horizontal="center" vertical="center"/>
    </xf>
    <xf numFmtId="164" fontId="34" fillId="27" borderId="22" applyAlignment="1" pivotButton="0" quotePrefix="0" xfId="0">
      <alignment horizontal="center" vertical="center"/>
    </xf>
    <xf numFmtId="0" fontId="33" fillId="25" borderId="22" applyAlignment="1" pivotButton="0" quotePrefix="0" xfId="0">
      <alignment horizontal="left" vertical="center"/>
    </xf>
    <xf numFmtId="164" fontId="33" fillId="25" borderId="22" applyAlignment="1" pivotButton="0" quotePrefix="0" xfId="0">
      <alignment horizontal="center" vertical="center"/>
    </xf>
    <xf numFmtId="0" fontId="33" fillId="23" borderId="22" applyAlignment="1" pivotButton="0" quotePrefix="0" xfId="0">
      <alignment horizontal="left" vertical="center"/>
    </xf>
    <xf numFmtId="164" fontId="33" fillId="23" borderId="22" applyAlignment="1" pivotButton="0" quotePrefix="0" xfId="0">
      <alignment horizontal="center" vertical="center"/>
    </xf>
    <xf numFmtId="0" fontId="33" fillId="26" borderId="22" applyAlignment="1" pivotButton="0" quotePrefix="0" xfId="0">
      <alignment horizontal="left" vertical="center"/>
    </xf>
    <xf numFmtId="164" fontId="33" fillId="26" borderId="22" applyAlignment="1" pivotButton="0" quotePrefix="0" xfId="0">
      <alignment horizontal="center" vertical="center"/>
    </xf>
    <xf numFmtId="0" fontId="35" fillId="30" borderId="0" applyAlignment="1" pivotButton="0" quotePrefix="0" xfId="0">
      <alignment horizontal="left" vertical="center" wrapText="1"/>
    </xf>
  </cellXfs>
  <cellStyles count="1">
    <cellStyle name="Normal" xfId="0" builtinId="0"/>
  </cellStyles>
  <dxfs count="8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 defaultTableStyle="TableStyleMedium9" defaultPivotStyle="PivotStyleLight16">
    <tableStyle name="Combined Results-style" pivot="0" count="3">
      <tableStyleElement type="headerRow" dxfId="2"/>
      <tableStyleElement type="firstRowStripe" dxfId="4"/>
      <tableStyleElement type="secondRowStripe" dxfId="6"/>
    </tableStyle>
    <tableStyle name="XGBoost Head-style" pivot="0" count="4">
      <tableStyleElement type="headerRow" dxfId="1"/>
      <tableStyleElement type="firstRowStripe" dxfId="3"/>
      <tableStyleElement type="secondRowStripe" dxfId="5"/>
      <tableStyleElement type="wholeTable" size="0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Macro-F1 Comparison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'Summary'!$B$5</f>
            </strRef>
          </tx>
          <spPr>
            <a:solidFill>
              <a:srgbClr val="FF4472C4"/>
            </a:solidFill>
            <a:ln>
              <a:solidFill>
                <a:srgbClr val="FF4472C4"/>
              </a:solidFill>
              <a:prstDash val="solid"/>
            </a:ln>
          </spPr>
          <cat>
            <numRef>
              <f>'Summary'!$A$6:$A$14</f>
            </numRef>
          </cat>
          <val>
            <numRef>
              <f>'Summary'!$B$6:$B$14</f>
            </numRef>
          </val>
        </ser>
        <ser>
          <idx val="1"/>
          <order val="1"/>
          <tx>
            <strRef>
              <f>'Summary'!$C$5</f>
            </strRef>
          </tx>
          <spPr>
            <a:solidFill>
              <a:srgbClr val="FFC0504D"/>
            </a:solidFill>
            <a:ln>
              <a:solidFill>
                <a:srgbClr val="FFC0504D"/>
              </a:solidFill>
              <a:prstDash val="solid"/>
            </a:ln>
          </spPr>
          <cat>
            <numRef>
              <f>'Summary'!$A$6:$A$14</f>
            </numRef>
          </cat>
          <val>
            <numRef>
              <f>'Summary'!$C$6:$C$14</f>
            </numRef>
          </val>
        </ser>
        <ser>
          <idx val="2"/>
          <order val="2"/>
          <tx>
            <strRef>
              <f>'Summary'!$D$5</f>
            </strRef>
          </tx>
          <spPr>
            <a:solidFill>
              <a:srgbClr val="FFF4B183"/>
            </a:solidFill>
            <a:ln>
              <a:solidFill>
                <a:srgbClr val="FFF4B183"/>
              </a:solidFill>
              <a:prstDash val="solid"/>
            </a:ln>
          </spPr>
          <cat>
            <numRef>
              <f>'Summary'!$A$6:$A$14</f>
            </numRef>
          </cat>
          <val>
            <numRef>
              <f>'Summary'!$D$6:$D$14</f>
            </numRef>
          </val>
        </ser>
        <ser>
          <idx val="3"/>
          <order val="3"/>
          <tx>
            <strRef>
              <f>'Summary'!$E$5</f>
            </strRef>
          </tx>
          <spPr>
            <a:solidFill>
              <a:srgbClr val="FF70AD47"/>
            </a:solidFill>
            <a:ln>
              <a:solidFill>
                <a:srgbClr val="FF70AD47"/>
              </a:solidFill>
              <a:prstDash val="solid"/>
            </a:ln>
          </spPr>
          <cat>
            <numRef>
              <f>'Summary'!$A$6:$A$14</f>
            </numRef>
          </cat>
          <val>
            <numRef>
              <f>'Summary'!$E$6:$E$14</f>
            </numRef>
          </val>
        </ser>
        <gapWidth val="150"/>
        <overlap val="0"/>
        <axId val="10"/>
        <axId val="100"/>
      </barChart>
      <catAx>
        <axId val="10"/>
        <scaling>
          <orientation val="maxMin"/>
        </scaling>
        <axPos val="l"/>
        <title>
          <tx>
            <rich>
              <a:bodyPr/>
              <a:p>
                <a:pPr>
                  <a:defRPr/>
                </a:pPr>
                <a:r>
                  <a:t>Evaluation / Modality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Macro-F1</a:t>
                </a:r>
              </a:p>
            </rich>
          </tx>
        </title>
        <majorTickMark val="none"/>
        <minorTickMark val="none"/>
        <crossAx val="10"/>
        <majorUnit val="0.1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DAIC Positive F1</a:t>
            </a:r>
          </a:p>
        </rich>
      </tx>
      <overlay val="0"/>
    </title>
    <plotArea>
      <layout/>
      <barChart>
        <barDir val="bar"/>
        <grouping val="clustered"/>
        <ser>
          <idx val="0"/>
          <order val="0"/>
          <tx>
            <strRef>
              <f>'DAIC PosF1 Graph'!$B$4</f>
            </strRef>
          </tx>
          <spPr>
            <a:solidFill>
              <a:schemeClr val="accent1"/>
            </a:solidFill>
            <a:ln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Graph'!$B$5:$B$7</f>
              <numCache/>
            </numRef>
          </val>
        </ser>
        <ser>
          <idx val="1"/>
          <order val="1"/>
          <tx>
            <strRef>
              <f>'DAIC PosF1 Graph'!$C$4</f>
            </strRef>
          </tx>
          <spPr>
            <a:solidFill>
              <a:schemeClr val="accent2"/>
            </a:solidFill>
            <a:ln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Graph'!$C$5:$C$7</f>
              <numCache/>
            </numRef>
          </val>
        </ser>
        <ser>
          <idx val="2"/>
          <order val="2"/>
          <tx>
            <strRef>
              <f>'DAIC PosF1 Graph'!$D$4</f>
            </strRef>
          </tx>
          <spPr>
            <a:solidFill>
              <a:schemeClr val="accent3"/>
            </a:solidFill>
            <a:ln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Graph'!$D$5:$D$7</f>
              <numCache/>
            </numRef>
          </val>
        </ser>
        <gapWidth val="150"/>
        <axId val="1407505873"/>
        <axId val="1272250681"/>
      </barChart>
      <catAx>
        <axId val="1407505873"/>
        <scaling>
          <orientation val="maxMin"/>
          <max val="1"/>
        </scaling>
        <delete val="0"/>
        <axPos val="l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Positive F1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72250681"/>
        <lblOffset val="100"/>
      </catAx>
      <valAx>
        <axId val="1272250681"/>
        <scaling>
          <orientation val="minMax"/>
        </scaling>
        <delete val="0"/>
        <axPos val="b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Modality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07505873"/>
        <crosses val="max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CMDC Positive F1</a:t>
            </a:r>
          </a:p>
        </rich>
      </tx>
      <overlay val="0"/>
    </title>
    <plotArea>
      <layout/>
      <barChart>
        <barDir val="bar"/>
        <grouping val="clustered"/>
        <ser>
          <idx val="0"/>
          <order val="0"/>
          <tx>
            <strRef>
              <f>'CMDC PosF1 Graph'!$B$4</f>
            </strRef>
          </tx>
          <spPr>
            <a:solidFill>
              <a:schemeClr val="accent1"/>
            </a:solidFill>
            <a:ln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Graph'!$B$5:$B$7</f>
              <numCache/>
            </numRef>
          </val>
        </ser>
        <ser>
          <idx val="1"/>
          <order val="1"/>
          <tx>
            <strRef>
              <f>'CMDC PosF1 Graph'!$C$4</f>
            </strRef>
          </tx>
          <spPr>
            <a:solidFill>
              <a:schemeClr val="accent2"/>
            </a:solidFill>
            <a:ln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Graph'!$C$5:$C$7</f>
              <numCache/>
            </numRef>
          </val>
        </ser>
        <ser>
          <idx val="2"/>
          <order val="2"/>
          <tx>
            <strRef>
              <f>'CMDC PosF1 Graph'!$D$4</f>
            </strRef>
          </tx>
          <spPr>
            <a:solidFill>
              <a:schemeClr val="accent3"/>
            </a:solidFill>
            <a:ln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Graph'!$D$5:$D$7</f>
              <numCache/>
            </numRef>
          </val>
        </ser>
        <gapWidth val="150"/>
        <axId val="1775813306"/>
        <axId val="1878878490"/>
      </barChart>
      <catAx>
        <axId val="1775813306"/>
        <scaling>
          <orientation val="maxMin"/>
          <max val="1"/>
        </scaling>
        <delete val="0"/>
        <axPos val="l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Positive F1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8878490"/>
        <lblOffset val="100"/>
      </catAx>
      <valAx>
        <axId val="1878878490"/>
        <scaling>
          <orientation val="minMax"/>
        </scaling>
        <delete val="0"/>
        <axPos val="b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Modality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75813306"/>
        <crosses val="max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8280000" cy="41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38100</rowOff>
    </from>
    <ext cx="5753100" cy="287655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85725</rowOff>
    </from>
    <ext cx="5753100" cy="287655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Table1" displayName="Table1" ref="A1:J13" headerRowCount="1">
  <tableColumns count="10">
    <tableColumn id="1" name="Dataset"/>
    <tableColumn id="2" name="Modality"/>
    <tableColumn id="3" name="Classifier Variant"/>
    <tableColumn id="4" name="Accuracy"/>
    <tableColumn id="5" name="Positive F1"/>
    <tableColumn id="6" name="Recall"/>
    <tableColumn id="7" name="Precision"/>
    <tableColumn id="8" name="Macro F1"/>
    <tableColumn id="9" name="AUROC"/>
    <tableColumn id="10" name="Confusion Matrix"/>
  </tableColumns>
  <tableStyleInfo name="XGBoost Head-style" showFirstColumn="1" showLastColumn="1" showRowStripes="1" showColumnStripes="0"/>
</table>
</file>

<file path=xl/tables/table2.xml><?xml version="1.0" encoding="utf-8"?>
<table xmlns="http://schemas.openxmlformats.org/spreadsheetml/2006/main" id="2" name="Table_1" displayName="Table_1" ref="A4:M34" headerRowCount="1">
  <tableColumns count="13">
    <tableColumn id="1" name="Dataset"/>
    <tableColumn id="2" name="Source"/>
    <tableColumn id="3" name="Modality"/>
    <tableColumn id="4" name="Method / Classifier"/>
    <tableColumn id="5" name="Accuracy"/>
    <tableColumn id="6" name="Positive F1"/>
    <tableColumn id="7" name="Precision"/>
    <tableColumn id="8" name="Recall"/>
    <tableColumn id="9" name="Macro F1"/>
    <tableColumn id="10" name="Negative F1"/>
    <tableColumn id="11" name="AUROC"/>
    <tableColumn id="12" name="All-Positive Baseline F1"/>
    <tableColumn id="13" name="Confusion Matrix"/>
  </tableColumns>
  <tableStyleInfo name="Combined Result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FF70AD47"/>
    <outlinePr summaryBelow="1" summaryRight="1"/>
    <pageSetUpPr fitToPage="1"/>
  </sheetPr>
  <dimension ref="A1:E17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style="119" min="1" max="1"/>
    <col width="18" customWidth="1" style="119" min="2" max="2"/>
    <col width="18" customWidth="1" style="119" min="3" max="3"/>
    <col width="18" customWidth="1" style="119" min="4" max="4"/>
    <col width="18" customWidth="1" style="119" min="5" max="5"/>
  </cols>
  <sheetData>
    <row r="1" ht="32" customHeight="1" s="119">
      <c r="A1" s="172" t="inlineStr">
        <is>
          <t>Depression Detection — Macro-F1 Summary</t>
        </is>
      </c>
    </row>
    <row r="2" ht="20" customHeight="1" s="119">
      <c r="A2" s="173" t="inlineStr">
        <is>
          <t>Macro-F1 only; higher is better. Paper scores from different evaluation sets are excluded. Blank cells mean that a comparable classifier result is unavailable. Turkish hidden-state heads use BDI≥17 table-aligned outer validation; Optuna values use the named protocol-valid primary profiles rather than exploratory inner-seed cherry-picking.</t>
        </is>
      </c>
    </row>
    <row r="3" ht="20" customHeight="1" s="119"/>
    <row r="5" ht="25" customHeight="1" s="119">
      <c r="A5" s="174" t="inlineStr">
        <is>
          <t>Evaluation / Modality</t>
        </is>
      </c>
      <c r="B5" s="174" t="inlineStr">
        <is>
          <t>Fine-tuned Qwen</t>
        </is>
      </c>
      <c r="C5" s="174" t="inlineStr">
        <is>
          <t>LogReg head</t>
        </is>
      </c>
      <c r="D5" s="174" t="inlineStr">
        <is>
          <t>XGBoost fixed</t>
        </is>
      </c>
      <c r="E5" s="174" t="inlineStr">
        <is>
          <t>XGBoost Optuna</t>
        </is>
      </c>
    </row>
    <row r="6" ht="21" customHeight="1" s="119">
      <c r="A6" s="175" t="inlineStr">
        <is>
          <t>DAIC — Audio + Text</t>
        </is>
      </c>
      <c r="B6" s="176" t="n">
        <v>0.759</v>
      </c>
      <c r="C6" s="177" t="n">
        <v>0.840678</v>
      </c>
      <c r="D6" s="176" t="n">
        <v>0.725729</v>
      </c>
      <c r="E6" s="176" t="n">
        <v>0.766169</v>
      </c>
    </row>
    <row r="7" ht="21" customHeight="1" s="119">
      <c r="A7" s="175" t="inlineStr">
        <is>
          <t>DAIC — Audio only</t>
        </is>
      </c>
      <c r="B7" s="176" t="n">
        <v>0.666</v>
      </c>
      <c r="C7" s="176" t="n">
        <v>0.704116</v>
      </c>
      <c r="D7" s="177" t="n">
        <v>0.714207</v>
      </c>
      <c r="E7" s="176" t="n">
        <v>0.7102889999999999</v>
      </c>
    </row>
    <row r="8" ht="21" customHeight="1" s="119">
      <c r="A8" s="175" t="inlineStr">
        <is>
          <t>DAIC — Text only</t>
        </is>
      </c>
      <c r="B8" s="176" t="n">
        <v>0.787</v>
      </c>
      <c r="C8" s="177" t="n">
        <v>0.818132</v>
      </c>
      <c r="D8" s="176" t="n">
        <v>0.78733</v>
      </c>
      <c r="E8" s="177" t="n">
        <v>0.818132</v>
      </c>
    </row>
    <row r="9" ht="21" customHeight="1" s="119">
      <c r="A9" s="178" t="inlineStr">
        <is>
          <t>CMDC — Audio + Text</t>
        </is>
      </c>
      <c r="B9" s="179" t="n">
        <v>0.905</v>
      </c>
      <c r="C9" s="177" t="n">
        <v>0.985434</v>
      </c>
      <c r="D9" s="179" t="n">
        <v>0.970566</v>
      </c>
      <c r="E9" s="177" t="n">
        <v>0.985434</v>
      </c>
    </row>
    <row r="10" ht="21" customHeight="1" s="119">
      <c r="A10" s="178" t="inlineStr">
        <is>
          <t>CMDC — Audio only</t>
        </is>
      </c>
      <c r="B10" s="179" t="n">
        <v>0.9399999999999999</v>
      </c>
      <c r="C10" s="177" t="n">
        <v>0.985434</v>
      </c>
      <c r="D10" s="177" t="n">
        <v>0.985434</v>
      </c>
      <c r="E10" s="177" t="n">
        <v>0.985434</v>
      </c>
    </row>
    <row r="11" ht="21" customHeight="1" s="119">
      <c r="A11" s="178" t="inlineStr">
        <is>
          <t>CMDC — Text only</t>
        </is>
      </c>
      <c r="B11" s="179" t="n">
        <v>0.927</v>
      </c>
      <c r="C11" s="177" t="n">
        <v>0.985434</v>
      </c>
      <c r="D11" s="179" t="n">
        <v>0.970566</v>
      </c>
      <c r="E11" s="179" t="n">
        <v>0.971154</v>
      </c>
    </row>
    <row r="12" ht="21" customHeight="1" s="119">
      <c r="A12" s="180" t="inlineStr">
        <is>
          <t>Turkish (BDI≥17) — Audio + Text</t>
        </is>
      </c>
      <c r="B12" s="181" t="n">
        <v>0.488</v>
      </c>
      <c r="C12" s="181" t="n">
        <v>0.498433</v>
      </c>
      <c r="D12" s="181" t="n">
        <v>0.435231</v>
      </c>
      <c r="E12" s="177" t="n">
        <v>0.536134</v>
      </c>
    </row>
    <row r="13" ht="21" customHeight="1" s="119">
      <c r="A13" s="180" t="inlineStr">
        <is>
          <t>Turkish (BDI≥17) — Audio only</t>
        </is>
      </c>
      <c r="B13" s="177" t="n">
        <v>0.613</v>
      </c>
      <c r="C13" s="181" t="n">
        <v>0.577778</v>
      </c>
      <c r="D13" s="181" t="n">
        <v>0.49</v>
      </c>
      <c r="E13" s="181" t="n">
        <v>0.557453</v>
      </c>
    </row>
    <row r="14" ht="21" customHeight="1" s="119">
      <c r="A14" s="180" t="inlineStr">
        <is>
          <t>Turkish (BDI≥17) — Text only</t>
        </is>
      </c>
      <c r="B14" s="181" t="n">
        <v>0.512</v>
      </c>
      <c r="C14" s="181" t="n">
        <v>0.555556</v>
      </c>
      <c r="D14" s="177" t="n">
        <v>0.623016</v>
      </c>
      <c r="E14" s="181" t="n">
        <v>0.604021</v>
      </c>
    </row>
    <row r="15" ht="21" customHeight="1" s="119"/>
    <row r="16" ht="18" customHeight="1" s="119">
      <c r="A16" s="184" t="inlineStr">
        <is>
          <t>Reading note: DAIC and CMDC were tuned using positive F1 as their optimization objective, while Turkish was tuned using Macro-F1. This page nevertheless reports Macro-F1 consistently for every result.</t>
        </is>
      </c>
    </row>
    <row r="17" ht="18" customHeight="1" s="119"/>
    <row r="19" ht="18" customHeight="1" s="119"/>
    <row r="20" ht="18" customHeight="1" s="119"/>
  </sheetData>
  <autoFilter ref="A5:E14"/>
  <mergeCells count="3">
    <mergeCell ref="A1:E1"/>
    <mergeCell ref="A2:E3"/>
    <mergeCell ref="A16:E17"/>
  </mergeCell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97"/>
  <sheetViews>
    <sheetView workbookViewId="0">
      <selection activeCell="A1" sqref="A1"/>
    </sheetView>
  </sheetViews>
  <sheetFormatPr baseColWidth="8" defaultColWidth="14.43" defaultRowHeight="15" customHeight="1"/>
  <cols>
    <col width="17" customWidth="1" style="119" min="1" max="1"/>
    <col width="22" customWidth="1" style="119" min="2" max="2"/>
    <col width="9" customWidth="1" style="119" min="3" max="4"/>
    <col width="11" customWidth="1" style="119" min="5" max="5"/>
    <col width="9" customWidth="1" style="119" min="6" max="6"/>
    <col width="10" customWidth="1" style="119" min="7" max="7"/>
    <col width="9" customWidth="1" style="119" min="8" max="8"/>
    <col width="13" customWidth="1" style="119" min="9" max="9"/>
  </cols>
  <sheetData>
    <row r="1" ht="21.75" customHeight="1" s="119">
      <c r="A1" s="2" t="inlineStr">
        <is>
          <t>Dataset</t>
        </is>
      </c>
      <c r="B1" s="2" t="inlineStr">
        <is>
          <t>Method</t>
        </is>
      </c>
      <c r="C1" s="2" t="inlineStr">
        <is>
          <t>ACC</t>
        </is>
      </c>
      <c r="D1" s="2" t="inlineStr">
        <is>
          <t>F1</t>
        </is>
      </c>
      <c r="E1" s="2" t="inlineStr">
        <is>
          <t>Precision</t>
        </is>
      </c>
      <c r="F1" s="2" t="inlineStr">
        <is>
          <t>Recall</t>
        </is>
      </c>
      <c r="G1" s="2" t="inlineStr">
        <is>
          <t>MacroF1</t>
        </is>
      </c>
      <c r="H1" s="2" t="inlineStr">
        <is>
          <t>NegF1</t>
        </is>
      </c>
      <c r="I1" s="2" t="inlineStr">
        <is>
          <t>AllPosBaseF1</t>
        </is>
      </c>
    </row>
    <row r="2">
      <c r="A2" s="120" t="inlineStr">
        <is>
          <t>DAIC</t>
        </is>
      </c>
      <c r="B2" s="24" t="inlineStr">
        <is>
          <t>Audio + Text (our)</t>
        </is>
      </c>
      <c r="C2" s="26" t="n">
        <v>0.766</v>
      </c>
      <c r="D2" s="26" t="n">
        <v>0.718</v>
      </c>
      <c r="E2" s="26" t="n">
        <v>0.5600000000000001</v>
      </c>
      <c r="F2" s="26" t="n">
        <v>1</v>
      </c>
      <c r="G2" s="26" t="n">
        <v>0.759</v>
      </c>
      <c r="H2" s="26" t="n">
        <v>0.8</v>
      </c>
      <c r="I2" s="26" t="n">
        <v>0.459</v>
      </c>
    </row>
    <row r="3">
      <c r="A3" s="121" t="n"/>
      <c r="B3" s="24" t="inlineStr">
        <is>
          <t>Audio only (our)</t>
        </is>
      </c>
      <c r="C3" s="26" t="n">
        <v>0.681</v>
      </c>
      <c r="D3" s="26" t="n">
        <v>0.595</v>
      </c>
      <c r="E3" s="26" t="n">
        <v>0.478</v>
      </c>
      <c r="F3" s="26" t="n">
        <v>0.786</v>
      </c>
      <c r="G3" s="26" t="n">
        <v>0.666</v>
      </c>
      <c r="H3" s="26" t="n">
        <v>0.737</v>
      </c>
      <c r="I3" s="26" t="n">
        <v>0.459</v>
      </c>
    </row>
    <row r="4">
      <c r="A4" s="120" t="n"/>
      <c r="B4" s="24" t="inlineStr">
        <is>
          <t>Text only (our)</t>
        </is>
      </c>
      <c r="C4" s="26" t="n">
        <v>0.83</v>
      </c>
      <c r="D4" s="26" t="n">
        <v>0.6919999999999999</v>
      </c>
      <c r="E4" s="26" t="n">
        <v>0.75</v>
      </c>
      <c r="F4" s="26" t="n">
        <v>0.643</v>
      </c>
      <c r="G4" s="26" t="n">
        <v>0.787</v>
      </c>
      <c r="H4" s="26" t="n">
        <v>0.882</v>
      </c>
      <c r="I4" s="26" t="n">
        <v>0.459</v>
      </c>
    </row>
    <row r="5">
      <c r="A5" s="120" t="inlineStr">
        <is>
          <t>CMDC</t>
        </is>
      </c>
      <c r="B5" s="49" t="inlineStr">
        <is>
          <t>Audio + Text (our)</t>
        </is>
      </c>
      <c r="C5" s="50" t="n">
        <v>0.908</v>
      </c>
      <c r="D5" s="50" t="n">
        <v>0.896</v>
      </c>
      <c r="E5" s="50" t="n">
        <v>0.871</v>
      </c>
      <c r="F5" s="50" t="n">
        <v>0.96</v>
      </c>
      <c r="G5" s="50" t="n">
        <v>0.905</v>
      </c>
      <c r="H5" s="50" t="n">
        <v>0.914</v>
      </c>
      <c r="I5" s="50" t="n">
        <v>0.5</v>
      </c>
    </row>
    <row r="6">
      <c r="A6" s="121" t="n"/>
      <c r="B6" s="49" t="inlineStr">
        <is>
          <t>Audio only (our)</t>
        </is>
      </c>
      <c r="C6" s="50" t="n">
        <v>0.949</v>
      </c>
      <c r="D6" s="50" t="n">
        <v>0.918</v>
      </c>
      <c r="E6" s="50" t="n">
        <v>0.971</v>
      </c>
      <c r="F6" s="50" t="n">
        <v>0.88</v>
      </c>
      <c r="G6" s="50" t="n">
        <v>0.9399999999999999</v>
      </c>
      <c r="H6" s="50" t="n">
        <v>0.962</v>
      </c>
      <c r="I6" s="50" t="n">
        <v>0.5</v>
      </c>
    </row>
    <row r="7">
      <c r="A7" s="120" t="n"/>
      <c r="B7" s="49" t="inlineStr">
        <is>
          <t>Text only (our)</t>
        </is>
      </c>
      <c r="C7" s="50" t="n">
        <v>0.9360000000000001</v>
      </c>
      <c r="D7" s="50" t="n">
        <v>0.904</v>
      </c>
      <c r="E7" s="50" t="n">
        <v>0.9429999999999999</v>
      </c>
      <c r="F7" s="50" t="n">
        <v>0.887</v>
      </c>
      <c r="G7" s="50" t="n">
        <v>0.927</v>
      </c>
      <c r="H7" s="50" t="n">
        <v>0.95</v>
      </c>
      <c r="I7" s="50" t="n">
        <v>0.5</v>
      </c>
    </row>
    <row r="8">
      <c r="A8" s="122" t="inlineStr">
        <is>
          <t>Turkish (BDI≥17)</t>
        </is>
      </c>
      <c r="B8" s="54" t="inlineStr">
        <is>
          <t>Audio + Text (our)</t>
        </is>
      </c>
      <c r="C8" s="55" t="n">
        <v>0.6929999999999999</v>
      </c>
      <c r="D8" s="55" t="n">
        <v>0.8090000000000001</v>
      </c>
      <c r="E8" s="55" t="n">
        <v>0.715</v>
      </c>
      <c r="F8" s="55" t="n">
        <v>0.9399999999999999</v>
      </c>
      <c r="G8" s="55" t="n">
        <v>0.488</v>
      </c>
      <c r="H8" s="55" t="n">
        <v>0.167</v>
      </c>
      <c r="I8" s="55" t="n">
        <v>0.8179999999999999</v>
      </c>
    </row>
    <row r="9">
      <c r="A9" s="121" t="n"/>
      <c r="B9" s="54" t="inlineStr">
        <is>
          <t>Audio only (our)</t>
        </is>
      </c>
      <c r="C9" s="55" t="n">
        <v>0.759</v>
      </c>
      <c r="D9" s="55" t="n">
        <v>0.847</v>
      </c>
      <c r="E9" s="55" t="n">
        <v>0.76</v>
      </c>
      <c r="F9" s="55" t="n">
        <v>0.965</v>
      </c>
      <c r="G9" s="55" t="n">
        <v>0.613</v>
      </c>
      <c r="H9" s="55" t="n">
        <v>0.379</v>
      </c>
      <c r="I9" s="55" t="n">
        <v>0.8179999999999999</v>
      </c>
    </row>
    <row r="10">
      <c r="A10" s="120" t="n"/>
      <c r="B10" s="54" t="inlineStr">
        <is>
          <t>Text only (our)</t>
        </is>
      </c>
      <c r="C10" s="55" t="n">
        <v>0.709</v>
      </c>
      <c r="D10" s="55" t="n">
        <v>0.821</v>
      </c>
      <c r="E10" s="55" t="n">
        <v>0.716</v>
      </c>
      <c r="F10" s="55" t="n">
        <v>0.964</v>
      </c>
      <c r="G10" s="55" t="n">
        <v>0.512</v>
      </c>
      <c r="H10" s="55" t="n">
        <v>0.203</v>
      </c>
      <c r="I10" s="55" t="n">
        <v>0.8179999999999999</v>
      </c>
    </row>
    <row r="11">
      <c r="A11" s="122" t="n"/>
      <c r="B11" s="54" t="n"/>
      <c r="C11" s="55" t="n"/>
      <c r="D11" s="55" t="n"/>
      <c r="E11" s="55" t="n"/>
      <c r="F11" s="55" t="n"/>
      <c r="G11" s="55" t="n"/>
      <c r="H11" s="55" t="n"/>
      <c r="I11" s="55" t="n"/>
    </row>
    <row r="12">
      <c r="B12" s="54" t="n"/>
      <c r="C12" s="55" t="n"/>
      <c r="D12" s="55" t="n"/>
      <c r="E12" s="55" t="n"/>
      <c r="F12" s="55" t="n"/>
      <c r="G12" s="55" t="n"/>
      <c r="H12" s="55" t="n"/>
      <c r="I12" s="55" t="n"/>
    </row>
    <row r="13">
      <c r="B13" s="54" t="n"/>
      <c r="C13" s="55" t="n"/>
      <c r="D13" s="55" t="n"/>
      <c r="E13" s="55" t="n"/>
      <c r="F13" s="55" t="n"/>
      <c r="G13" s="55" t="n"/>
      <c r="H13" s="55" t="n"/>
      <c r="I13" s="55" t="n"/>
    </row>
    <row r="14">
      <c r="A14" s="123" t="n"/>
      <c r="B14" s="62" t="n"/>
      <c r="C14" s="63" t="n"/>
      <c r="D14" s="63" t="n"/>
      <c r="E14" s="63" t="n"/>
      <c r="F14" s="63" t="n"/>
      <c r="G14" s="63" t="n"/>
      <c r="H14" s="63" t="n"/>
      <c r="I14" s="63" t="n"/>
    </row>
    <row r="15">
      <c r="B15" s="62" t="n"/>
      <c r="C15" s="63" t="n"/>
      <c r="D15" s="63" t="n"/>
      <c r="E15" s="63" t="n"/>
      <c r="F15" s="63" t="n"/>
      <c r="G15" s="63" t="n"/>
      <c r="H15" s="63" t="n"/>
      <c r="I15" s="63" t="n"/>
    </row>
    <row r="16">
      <c r="B16" s="62" t="n"/>
      <c r="C16" s="63" t="n"/>
      <c r="D16" s="63" t="n"/>
      <c r="E16" s="63" t="n"/>
      <c r="F16" s="63" t="n"/>
      <c r="G16" s="63" t="n"/>
      <c r="H16" s="63" t="n"/>
      <c r="I16" s="63" t="n"/>
    </row>
    <row r="17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</row>
    <row r="18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 ht="15.75" customHeight="1" s="119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 ht="15.75" customHeight="1" s="119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 ht="15.75" customHeight="1" s="119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 ht="15.75" customHeight="1" s="119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 ht="15.75" customHeight="1" s="119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 ht="15.75" customHeight="1" s="119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 ht="15.75" customHeight="1" s="119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 ht="15.75" customHeight="1" s="119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 ht="15.75" customHeight="1" s="119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 ht="15.75" customHeight="1" s="119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 ht="15.75" customHeight="1" s="119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 ht="15.75" customHeight="1" s="119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 ht="15.75" customHeight="1" s="119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 ht="15.75" customHeight="1" s="119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 ht="15.75" customHeight="1" s="119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  <row r="36" ht="15.75" customHeight="1" s="119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</row>
    <row r="37" ht="15.75" customHeight="1" s="119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</row>
    <row r="38" ht="15.75" customHeight="1" s="119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</row>
    <row r="39" ht="15.75" customHeight="1" s="119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</row>
    <row r="40" ht="15.75" customHeight="1" s="119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</row>
    <row r="41" ht="15.75" customHeight="1" s="119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</row>
    <row r="42" ht="15.75" customHeight="1" s="119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</row>
    <row r="43" ht="15.75" customHeight="1" s="119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</row>
    <row r="44" ht="15.75" customHeight="1" s="119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G997" s="41" t="n"/>
      <c r="H997" s="41" t="n"/>
      <c r="I997" s="41" t="n"/>
    </row>
    <row r="998" ht="15.75" customHeight="1" s="119"/>
    <row r="999" ht="15.75" customHeight="1" s="119"/>
    <row r="1000" ht="15.75" customHeight="1" s="119"/>
  </sheetData>
  <mergeCells count="3">
    <mergeCell ref="A5:A7"/>
    <mergeCell ref="A2:A4"/>
    <mergeCell ref="A8:A10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selection activeCell="A1" sqref="A1"/>
    </sheetView>
  </sheetViews>
  <sheetFormatPr baseColWidth="8" defaultColWidth="14.43" defaultRowHeight="15" customHeight="1"/>
  <cols>
    <col width="24.71" customWidth="1" style="119" min="1" max="1"/>
    <col width="14.43" customWidth="1" style="119" min="2" max="6"/>
    <col width="17.86" customWidth="1" style="119" min="12" max="12"/>
  </cols>
  <sheetData>
    <row r="1">
      <c r="A1" s="1" t="inlineStr">
        <is>
          <t>Experiment</t>
        </is>
      </c>
      <c r="B1" s="1" t="inlineStr">
        <is>
          <t>Modality</t>
        </is>
      </c>
      <c r="C1" s="1" t="inlineStr">
        <is>
          <t>Eval Dataset</t>
        </is>
      </c>
      <c r="D1" s="1" t="inlineStr">
        <is>
          <t>Eval Split</t>
        </is>
      </c>
      <c r="E1" s="1" t="inlineStr">
        <is>
          <t>ACC</t>
        </is>
      </c>
      <c r="F1" s="1" t="inlineStr">
        <is>
          <t>Pos F1</t>
        </is>
      </c>
      <c r="G1" s="1" t="inlineStr">
        <is>
          <t>Precision</t>
        </is>
      </c>
      <c r="H1" s="1" t="inlineStr">
        <is>
          <t>Recall</t>
        </is>
      </c>
      <c r="I1" s="1" t="inlineStr">
        <is>
          <t>Macro F1</t>
        </is>
      </c>
      <c r="J1" s="1" t="inlineStr">
        <is>
          <t>Support Neg</t>
        </is>
      </c>
      <c r="K1" s="1" t="inlineStr">
        <is>
          <t>Support Pos</t>
        </is>
      </c>
      <c r="L1" s="1" t="inlineStr">
        <is>
          <t>Confusion Matrix</t>
        </is>
      </c>
      <c r="M1" s="1" t="inlineStr">
        <is>
          <t>Selected Epoch</t>
        </is>
      </c>
      <c r="N1" s="1" t="inlineStr">
        <is>
          <t>Notes</t>
        </is>
      </c>
    </row>
    <row r="2">
      <c r="A2" s="3" t="inlineStr">
        <is>
          <t>Joint DAIC+CMDC</t>
        </is>
      </c>
      <c r="B2" s="5" t="inlineStr">
        <is>
          <t>Audio only</t>
        </is>
      </c>
      <c r="C2" s="7" t="inlineStr">
        <is>
          <t>DAIC</t>
        </is>
      </c>
      <c r="D2" s="7" t="inlineStr">
        <is>
          <t>test</t>
        </is>
      </c>
      <c r="E2" s="9" t="n">
        <v>0.404</v>
      </c>
      <c r="F2" s="9" t="n">
        <v>0.5</v>
      </c>
      <c r="G2" s="9" t="n">
        <v>0.333</v>
      </c>
      <c r="H2" s="9" t="n">
        <v>1</v>
      </c>
      <c r="I2" s="9" t="n">
        <v>0.382</v>
      </c>
      <c r="J2" s="9" t="n">
        <v>33</v>
      </c>
      <c r="K2" s="9" t="n">
        <v>14</v>
      </c>
      <c r="L2" s="7" t="inlineStr">
        <is>
          <t>[[5,28],[0,14]]</t>
        </is>
      </c>
      <c r="M2" s="9" t="n">
        <v>1</v>
      </c>
      <c r="N2" s="12" t="inlineStr">
        <is>
          <t>Checkpoint selected by mean DAIC-val / CMDC-inner-val pos F1</t>
        </is>
      </c>
    </row>
    <row r="3">
      <c r="C3" s="7" t="inlineStr">
        <is>
          <t>CMDC</t>
        </is>
      </c>
      <c r="D3" s="7" t="inlineStr">
        <is>
          <t>fold-0 holdout</t>
        </is>
      </c>
      <c r="E3" s="9" t="n">
        <v>0.588</v>
      </c>
      <c r="F3" s="9" t="n">
        <v>0.632</v>
      </c>
      <c r="G3" s="9" t="n">
        <v>0.462</v>
      </c>
      <c r="H3" s="9" t="n">
        <v>1</v>
      </c>
      <c r="I3" s="9" t="n">
        <v>0.582</v>
      </c>
      <c r="J3" s="9" t="n">
        <v>11</v>
      </c>
      <c r="K3" s="9" t="n">
        <v>6</v>
      </c>
      <c r="L3" s="7" t="inlineStr">
        <is>
          <t>[[4,7],[0,6]]</t>
        </is>
      </c>
      <c r="M3" s="9" t="n">
        <v>1</v>
      </c>
      <c r="N3" s="12" t="inlineStr">
        <is>
          <t>CMDC fold-0 holdout excluded from training and selection</t>
        </is>
      </c>
    </row>
    <row r="4">
      <c r="B4" s="18" t="inlineStr">
        <is>
          <t>Text only</t>
        </is>
      </c>
      <c r="C4" s="20" t="inlineStr">
        <is>
          <t>DAIC</t>
        </is>
      </c>
      <c r="D4" s="20" t="inlineStr">
        <is>
          <t>test</t>
        </is>
      </c>
      <c r="E4" s="21" t="n">
        <v>0.8090000000000001</v>
      </c>
      <c r="F4" s="21" t="n">
        <v>0.757</v>
      </c>
      <c r="G4" s="21" t="n">
        <v>0.609</v>
      </c>
      <c r="H4" s="21" t="n">
        <v>1</v>
      </c>
      <c r="I4" s="21" t="n">
        <v>0.799</v>
      </c>
      <c r="J4" s="21" t="n">
        <v>33</v>
      </c>
      <c r="K4" s="21" t="n">
        <v>14</v>
      </c>
      <c r="L4" s="20" t="inlineStr">
        <is>
          <t>[[24,9],[0,14]]</t>
        </is>
      </c>
      <c r="M4" s="21" t="n">
        <v>2</v>
      </c>
      <c r="N4" s="23" t="inlineStr">
        <is>
          <t>Checkpoint selected by mean DAIC-val / CMDC-inner-val pos F1</t>
        </is>
      </c>
    </row>
    <row r="5">
      <c r="C5" s="20" t="inlineStr">
        <is>
          <t>CMDC</t>
        </is>
      </c>
      <c r="D5" s="20" t="inlineStr">
        <is>
          <t>fold-0 holdout</t>
        </is>
      </c>
      <c r="E5" s="21" t="n">
        <v>0.882</v>
      </c>
      <c r="F5" s="21" t="n">
        <v>0.857</v>
      </c>
      <c r="G5" s="21" t="n">
        <v>0.75</v>
      </c>
      <c r="H5" s="21" t="n">
        <v>1</v>
      </c>
      <c r="I5" s="21" t="n">
        <v>0.879</v>
      </c>
      <c r="J5" s="21" t="n">
        <v>11</v>
      </c>
      <c r="K5" s="21" t="n">
        <v>6</v>
      </c>
      <c r="L5" s="20" t="inlineStr">
        <is>
          <t>[[9,2],[0,6]]</t>
        </is>
      </c>
      <c r="M5" s="21" t="n">
        <v>2</v>
      </c>
      <c r="N5" s="23" t="inlineStr">
        <is>
          <t>CMDC fold-0 holdout excluded from training and selection</t>
        </is>
      </c>
    </row>
    <row r="6">
      <c r="B6" s="29" t="inlineStr">
        <is>
          <t>Audio+Text</t>
        </is>
      </c>
      <c r="C6" s="30" t="inlineStr">
        <is>
          <t>DAIC</t>
        </is>
      </c>
      <c r="D6" s="30" t="inlineStr">
        <is>
          <t>test</t>
        </is>
      </c>
      <c r="E6" s="32" t="n">
        <v>0.787</v>
      </c>
      <c r="F6" s="32" t="n">
        <v>0.667</v>
      </c>
      <c r="G6" s="32" t="n">
        <v>0.625</v>
      </c>
      <c r="H6" s="32" t="n">
        <v>0.714</v>
      </c>
      <c r="I6" s="32" t="n">
        <v>0.755</v>
      </c>
      <c r="J6" s="32" t="n">
        <v>33</v>
      </c>
      <c r="K6" s="32" t="n">
        <v>14</v>
      </c>
      <c r="L6" s="30" t="inlineStr">
        <is>
          <t>[[27,6],[4,10]]</t>
        </is>
      </c>
      <c r="M6" s="32" t="n">
        <v>4</v>
      </c>
      <c r="N6" s="36" t="inlineStr">
        <is>
          <t>Checkpoint selected by mean DAIC-val / CMDC-inner-val pos F1</t>
        </is>
      </c>
    </row>
    <row r="7">
      <c r="C7" s="30" t="inlineStr">
        <is>
          <t>CMDC</t>
        </is>
      </c>
      <c r="D7" s="30" t="inlineStr">
        <is>
          <t>fold-0 holdout</t>
        </is>
      </c>
      <c r="E7" s="32" t="n">
        <v>1</v>
      </c>
      <c r="F7" s="32" t="n">
        <v>1</v>
      </c>
      <c r="G7" s="32" t="n">
        <v>1</v>
      </c>
      <c r="H7" s="32" t="n">
        <v>1</v>
      </c>
      <c r="I7" s="32" t="n">
        <v>1</v>
      </c>
      <c r="J7" s="32" t="n">
        <v>11</v>
      </c>
      <c r="K7" s="32" t="n">
        <v>6</v>
      </c>
      <c r="L7" s="30" t="inlineStr">
        <is>
          <t>[[11,0],[0,6]]</t>
        </is>
      </c>
      <c r="M7" s="32" t="n">
        <v>4</v>
      </c>
      <c r="N7" s="36" t="inlineStr">
        <is>
          <t>CMDC fold-0 holdout excluded from training and selection</t>
        </is>
      </c>
    </row>
    <row r="8">
      <c r="A8" s="41" t="n"/>
      <c r="B8" s="41" t="n"/>
      <c r="C8" s="41" t="n"/>
      <c r="D8" s="41" t="n"/>
      <c r="E8" s="41" t="n"/>
      <c r="F8" s="41" t="n"/>
      <c r="L8" s="41" t="n"/>
    </row>
    <row r="9">
      <c r="A9" s="41" t="n"/>
      <c r="B9" s="41" t="n"/>
      <c r="C9" s="41" t="n"/>
      <c r="D9" s="41" t="n"/>
      <c r="E9" s="41" t="n"/>
      <c r="F9" s="41" t="n"/>
      <c r="L9" s="41" t="n"/>
    </row>
    <row r="10">
      <c r="A10" s="41" t="n"/>
      <c r="B10" s="41" t="n"/>
      <c r="C10" s="41" t="n"/>
      <c r="D10" s="41" t="n"/>
      <c r="E10" s="41" t="n"/>
      <c r="F10" s="41" t="n"/>
      <c r="L10" s="41" t="n"/>
    </row>
    <row r="11">
      <c r="A11" s="41" t="n"/>
      <c r="B11" s="41" t="n"/>
      <c r="C11" s="41" t="n"/>
      <c r="D11" s="41" t="n"/>
      <c r="E11" s="41" t="n"/>
      <c r="F11" s="41" t="n"/>
      <c r="L11" s="41" t="n"/>
    </row>
    <row r="12">
      <c r="A12" s="41" t="n"/>
      <c r="B12" s="41" t="n"/>
      <c r="C12" s="41" t="n"/>
      <c r="D12" s="41" t="n"/>
      <c r="E12" s="41" t="n"/>
      <c r="F12" s="41" t="n"/>
      <c r="L12" s="41" t="n"/>
    </row>
    <row r="13">
      <c r="A13" s="41" t="n"/>
      <c r="B13" s="41" t="n"/>
      <c r="C13" s="41" t="n"/>
      <c r="D13" s="41" t="n"/>
      <c r="E13" s="41" t="n"/>
      <c r="F13" s="41" t="n"/>
      <c r="L13" s="41" t="n"/>
    </row>
    <row r="14">
      <c r="A14" s="41" t="n"/>
      <c r="B14" s="41" t="n"/>
      <c r="C14" s="41" t="n"/>
      <c r="D14" s="41" t="n"/>
      <c r="E14" s="41" t="n"/>
      <c r="F14" s="41" t="n"/>
      <c r="L14" s="41" t="n"/>
    </row>
    <row r="15">
      <c r="A15" s="41" t="n"/>
      <c r="B15" s="41" t="n"/>
      <c r="C15" s="41" t="n"/>
      <c r="D15" s="41" t="n"/>
      <c r="E15" s="41" t="n"/>
      <c r="F15" s="41" t="n"/>
      <c r="L15" s="41" t="n"/>
    </row>
    <row r="16">
      <c r="A16" s="41" t="n"/>
      <c r="B16" s="41" t="n"/>
      <c r="C16" s="41" t="n"/>
      <c r="D16" s="41" t="n"/>
      <c r="E16" s="41" t="n"/>
      <c r="F16" s="41" t="n"/>
      <c r="L16" s="41" t="n"/>
    </row>
    <row r="17">
      <c r="A17" s="41" t="n"/>
      <c r="B17" s="41" t="n"/>
      <c r="C17" s="41" t="n"/>
      <c r="D17" s="41" t="n"/>
      <c r="E17" s="41" t="n"/>
      <c r="F17" s="41" t="n"/>
      <c r="L17" s="41" t="n"/>
    </row>
    <row r="18">
      <c r="A18" s="41" t="n"/>
      <c r="B18" s="41" t="n"/>
      <c r="C18" s="41" t="n"/>
      <c r="D18" s="41" t="n"/>
      <c r="E18" s="41" t="n"/>
      <c r="F18" s="41" t="n"/>
      <c r="L18" s="41" t="n"/>
    </row>
    <row r="19">
      <c r="A19" s="41" t="n"/>
      <c r="B19" s="41" t="n"/>
      <c r="C19" s="41" t="n"/>
      <c r="D19" s="41" t="n"/>
      <c r="E19" s="41" t="n"/>
      <c r="F19" s="41" t="n"/>
      <c r="L19" s="41" t="n"/>
    </row>
    <row r="20">
      <c r="A20" s="41" t="n"/>
      <c r="B20" s="41" t="n"/>
      <c r="C20" s="41" t="n"/>
      <c r="D20" s="41" t="n"/>
      <c r="E20" s="41" t="n"/>
      <c r="F20" s="41" t="n"/>
      <c r="L20" s="41" t="n"/>
    </row>
    <row r="21" ht="15.75" customHeight="1" s="119">
      <c r="A21" s="41" t="n"/>
      <c r="B21" s="41" t="n"/>
      <c r="C21" s="41" t="n"/>
      <c r="D21" s="41" t="n"/>
      <c r="E21" s="41" t="n"/>
      <c r="F21" s="41" t="n"/>
      <c r="L21" s="41" t="n"/>
    </row>
    <row r="22" ht="15.75" customHeight="1" s="119">
      <c r="A22" s="41" t="n"/>
      <c r="B22" s="41" t="n"/>
      <c r="C22" s="41" t="n"/>
      <c r="D22" s="41" t="n"/>
      <c r="E22" s="41" t="n"/>
      <c r="F22" s="41" t="n"/>
      <c r="L22" s="41" t="n"/>
    </row>
    <row r="23" ht="15.75" customHeight="1" s="119">
      <c r="A23" s="41" t="n"/>
      <c r="B23" s="41" t="n"/>
      <c r="C23" s="41" t="n"/>
      <c r="D23" s="41" t="n"/>
      <c r="E23" s="41" t="n"/>
      <c r="F23" s="41" t="n"/>
      <c r="L23" s="41" t="n"/>
    </row>
    <row r="24" ht="15.75" customHeight="1" s="119">
      <c r="A24" s="41" t="n"/>
      <c r="B24" s="41" t="n"/>
      <c r="C24" s="41" t="n"/>
      <c r="D24" s="41" t="n"/>
      <c r="E24" s="41" t="n"/>
      <c r="F24" s="41" t="n"/>
      <c r="L24" s="41" t="n"/>
    </row>
    <row r="25" ht="15.75" customHeight="1" s="119">
      <c r="A25" s="41" t="n"/>
      <c r="B25" s="41" t="n"/>
      <c r="C25" s="41" t="n"/>
      <c r="D25" s="41" t="n"/>
      <c r="E25" s="41" t="n"/>
      <c r="F25" s="41" t="n"/>
      <c r="L25" s="41" t="n"/>
    </row>
    <row r="26" ht="15.75" customHeight="1" s="119">
      <c r="A26" s="41" t="n"/>
      <c r="B26" s="41" t="n"/>
      <c r="C26" s="41" t="n"/>
      <c r="D26" s="41" t="n"/>
      <c r="E26" s="41" t="n"/>
      <c r="F26" s="41" t="n"/>
      <c r="L26" s="41" t="n"/>
    </row>
    <row r="27" ht="15.75" customHeight="1" s="119">
      <c r="A27" s="41" t="n"/>
      <c r="B27" s="41" t="n"/>
      <c r="C27" s="41" t="n"/>
      <c r="D27" s="41" t="n"/>
      <c r="E27" s="41" t="n"/>
      <c r="F27" s="41" t="n"/>
      <c r="L27" s="41" t="n"/>
    </row>
    <row r="28" ht="15.75" customHeight="1" s="119">
      <c r="A28" s="41" t="n"/>
      <c r="B28" s="41" t="n"/>
      <c r="C28" s="41" t="n"/>
      <c r="D28" s="41" t="n"/>
      <c r="E28" s="41" t="n"/>
      <c r="F28" s="41" t="n"/>
      <c r="L28" s="41" t="n"/>
    </row>
    <row r="29" ht="15.75" customHeight="1" s="119">
      <c r="A29" s="41" t="n"/>
      <c r="B29" s="41" t="n"/>
      <c r="C29" s="41" t="n"/>
      <c r="D29" s="41" t="n"/>
      <c r="E29" s="41" t="n"/>
      <c r="F29" s="41" t="n"/>
      <c r="L29" s="41" t="n"/>
    </row>
    <row r="30" ht="15.75" customHeight="1" s="119">
      <c r="A30" s="41" t="n"/>
      <c r="B30" s="41" t="n"/>
      <c r="C30" s="41" t="n"/>
      <c r="D30" s="41" t="n"/>
      <c r="E30" s="41" t="n"/>
      <c r="F30" s="41" t="n"/>
      <c r="L30" s="41" t="n"/>
    </row>
    <row r="31" ht="15.75" customHeight="1" s="119">
      <c r="A31" s="41" t="n"/>
      <c r="B31" s="41" t="n"/>
      <c r="C31" s="41" t="n"/>
      <c r="D31" s="41" t="n"/>
      <c r="E31" s="41" t="n"/>
      <c r="F31" s="41" t="n"/>
      <c r="L31" s="41" t="n"/>
    </row>
    <row r="32" ht="15.75" customHeight="1" s="119">
      <c r="A32" s="41" t="n"/>
      <c r="B32" s="41" t="n"/>
      <c r="C32" s="41" t="n"/>
      <c r="D32" s="41" t="n"/>
      <c r="E32" s="41" t="n"/>
      <c r="F32" s="41" t="n"/>
      <c r="L32" s="41" t="n"/>
    </row>
    <row r="33" ht="15.75" customHeight="1" s="119">
      <c r="A33" s="41" t="n"/>
      <c r="B33" s="41" t="n"/>
      <c r="C33" s="41" t="n"/>
      <c r="D33" s="41" t="n"/>
      <c r="E33" s="41" t="n"/>
      <c r="F33" s="41" t="n"/>
      <c r="L33" s="41" t="n"/>
    </row>
    <row r="34" ht="15.75" customHeight="1" s="119">
      <c r="A34" s="41" t="n"/>
      <c r="B34" s="41" t="n"/>
      <c r="C34" s="41" t="n"/>
      <c r="D34" s="41" t="n"/>
      <c r="E34" s="41" t="n"/>
      <c r="F34" s="41" t="n"/>
      <c r="L34" s="41" t="n"/>
    </row>
    <row r="35" ht="15.75" customHeight="1" s="119">
      <c r="A35" s="41" t="n"/>
      <c r="B35" s="41" t="n"/>
      <c r="C35" s="41" t="n"/>
      <c r="D35" s="41" t="n"/>
      <c r="E35" s="41" t="n"/>
      <c r="F35" s="41" t="n"/>
      <c r="L35" s="41" t="n"/>
    </row>
    <row r="36" ht="15.75" customHeight="1" s="119">
      <c r="A36" s="41" t="n"/>
      <c r="B36" s="41" t="n"/>
      <c r="C36" s="41" t="n"/>
      <c r="D36" s="41" t="n"/>
      <c r="E36" s="41" t="n"/>
      <c r="F36" s="41" t="n"/>
      <c r="L36" s="41" t="n"/>
    </row>
    <row r="37" ht="15.75" customHeight="1" s="119">
      <c r="A37" s="41" t="n"/>
      <c r="B37" s="41" t="n"/>
      <c r="C37" s="41" t="n"/>
      <c r="D37" s="41" t="n"/>
      <c r="E37" s="41" t="n"/>
      <c r="F37" s="41" t="n"/>
      <c r="L37" s="41" t="n"/>
    </row>
    <row r="38" ht="15.75" customHeight="1" s="119">
      <c r="A38" s="41" t="n"/>
      <c r="B38" s="41" t="n"/>
      <c r="C38" s="41" t="n"/>
      <c r="D38" s="41" t="n"/>
      <c r="E38" s="41" t="n"/>
      <c r="F38" s="41" t="n"/>
      <c r="L38" s="41" t="n"/>
    </row>
    <row r="39" ht="15.75" customHeight="1" s="119">
      <c r="A39" s="41" t="n"/>
      <c r="B39" s="41" t="n"/>
      <c r="C39" s="41" t="n"/>
      <c r="D39" s="41" t="n"/>
      <c r="E39" s="41" t="n"/>
      <c r="F39" s="41" t="n"/>
      <c r="L39" s="41" t="n"/>
    </row>
    <row r="40" ht="15.75" customHeight="1" s="119">
      <c r="A40" s="41" t="n"/>
      <c r="B40" s="41" t="n"/>
      <c r="C40" s="41" t="n"/>
      <c r="D40" s="41" t="n"/>
      <c r="E40" s="41" t="n"/>
      <c r="F40" s="41" t="n"/>
      <c r="L40" s="41" t="n"/>
    </row>
    <row r="41" ht="15.75" customHeight="1" s="119">
      <c r="A41" s="41" t="n"/>
      <c r="B41" s="41" t="n"/>
      <c r="C41" s="41" t="n"/>
      <c r="D41" s="41" t="n"/>
      <c r="E41" s="41" t="n"/>
      <c r="F41" s="41" t="n"/>
      <c r="L41" s="41" t="n"/>
    </row>
    <row r="42" ht="15.75" customHeight="1" s="119">
      <c r="A42" s="41" t="n"/>
      <c r="B42" s="41" t="n"/>
      <c r="C42" s="41" t="n"/>
      <c r="D42" s="41" t="n"/>
      <c r="E42" s="41" t="n"/>
      <c r="F42" s="41" t="n"/>
      <c r="L42" s="41" t="n"/>
    </row>
    <row r="43" ht="15.75" customHeight="1" s="119">
      <c r="A43" s="41" t="n"/>
      <c r="B43" s="41" t="n"/>
      <c r="C43" s="41" t="n"/>
      <c r="D43" s="41" t="n"/>
      <c r="E43" s="41" t="n"/>
      <c r="F43" s="41" t="n"/>
      <c r="L43" s="41" t="n"/>
    </row>
    <row r="44" ht="15.75" customHeight="1" s="119">
      <c r="A44" s="41" t="n"/>
      <c r="B44" s="41" t="n"/>
      <c r="C44" s="41" t="n"/>
      <c r="D44" s="41" t="n"/>
      <c r="E44" s="41" t="n"/>
      <c r="F44" s="41" t="n"/>
      <c r="L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L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L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L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L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L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L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L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L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L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L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L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L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L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L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L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L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L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L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L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L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L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L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L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L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L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L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L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L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L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L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L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L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L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L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L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L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L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L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L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L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L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L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L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L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L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L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L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L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L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L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L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L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L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L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L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L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L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L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L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L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L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L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L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L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L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L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L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L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L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L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L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L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L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L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L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L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L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L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L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L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L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L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L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L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L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L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L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L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L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L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L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L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L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L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L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L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L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L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L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L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L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L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L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L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L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L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L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L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L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L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L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L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L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L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L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L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L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L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L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L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L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L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L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L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L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L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L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L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L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L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L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L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L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L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L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L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L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L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L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L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L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L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L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L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L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L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L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L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L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L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L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L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L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L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L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L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L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L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L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L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L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L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L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L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L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L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L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L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L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L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L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L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L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L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L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L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L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L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L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L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L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L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L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L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L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L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L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L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L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L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L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L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L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L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L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L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L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L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L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L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L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L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L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L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L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L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L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L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L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L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L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L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L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L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L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L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L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L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L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L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L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L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L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L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L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L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L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L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L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L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L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L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L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L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L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L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L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L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L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L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L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L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L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L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L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L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L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L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L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L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L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L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L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L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L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L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L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L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L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L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L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L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L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L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L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L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L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L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L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L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L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L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L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L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L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L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L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L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L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L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L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L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L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L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L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L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L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L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L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L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L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L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L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L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L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L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L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L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L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L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L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L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L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L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L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L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L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L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L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L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L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L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L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L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L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L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L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L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L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L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L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L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L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L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L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L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L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L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L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L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L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L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L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L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L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L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L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L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L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L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L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L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L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L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L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L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L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L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L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L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L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L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L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L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L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L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L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L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L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L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L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L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L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L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L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L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L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L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L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L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L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L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L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L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L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L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L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L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L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L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L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L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L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L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L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L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L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L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L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L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L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L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L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L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L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L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L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L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L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L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L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L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L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L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L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L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L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L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L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L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L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L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L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L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L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L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L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L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L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L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L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L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L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L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L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L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L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L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L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L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L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L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L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L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L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L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L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L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L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L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L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L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L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L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L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L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L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L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L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L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L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L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L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L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L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L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L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L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L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L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L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L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L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L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L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L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L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L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L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L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L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L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L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L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L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L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L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L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L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L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L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L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L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L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L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L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L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L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L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L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L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L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L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L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L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L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L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L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L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L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L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L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L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L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L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L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L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L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L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L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L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L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L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L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L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L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L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L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L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L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L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L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L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L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L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L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L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L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L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L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L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L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L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L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L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L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L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L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L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L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L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L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L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L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L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L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L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L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L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L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L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L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L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L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L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L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L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L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L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L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L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L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L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L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L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L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L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L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L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L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L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L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L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L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L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L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L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L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L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L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L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L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L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L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L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L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L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L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L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L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L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L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L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L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L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L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L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L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L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L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L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L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L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L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L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L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L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L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L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L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L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L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L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L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L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L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L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L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L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L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L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L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L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L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L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L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L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L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L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L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L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L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L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L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L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L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L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L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L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L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L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L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L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L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L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L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L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L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L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L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L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L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L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L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L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L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L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L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L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L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L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L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L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L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L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L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L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L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L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L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L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L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L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L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L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L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L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L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L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L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L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L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L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L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L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L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L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L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L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L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L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L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L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L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L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L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L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L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L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L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L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L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L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L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L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L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L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L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L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L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L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L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L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L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L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L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L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L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L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L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L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L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L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L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L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L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L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L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L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L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L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L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L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L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L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L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L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L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L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L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L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L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L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L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L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L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L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L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L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L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L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L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L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L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L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L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L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L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L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L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L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L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L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L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L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L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L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L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L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L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L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L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L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L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L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L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L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L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L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L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L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L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L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L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L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L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L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L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L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L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L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L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L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L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L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L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L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L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L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L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L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L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L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L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L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L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L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L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L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L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L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L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L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L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L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L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L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L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L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L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L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L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L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L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L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L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L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L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L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L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L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L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L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L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L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L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L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L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L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L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L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L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L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L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L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L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L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L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L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L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L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L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L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L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L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L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L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L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L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L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L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L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L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L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L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L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L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L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L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L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L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L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L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L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L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L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L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L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L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L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L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L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L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L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L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L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L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L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L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L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L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L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L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L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L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L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L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L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L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L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L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L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L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L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L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L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L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L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L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L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L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L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L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L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L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L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L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L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L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L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L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L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L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L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L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L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L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L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L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L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L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L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L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L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L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L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L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L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L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L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L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L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L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L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L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L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L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L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L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L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L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L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L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  <c r="L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  <c r="L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  <c r="L1000" s="41" t="n"/>
    </row>
  </sheetData>
  <mergeCells count="4">
    <mergeCell ref="A2:A7"/>
    <mergeCell ref="B6:B7"/>
    <mergeCell ref="B2:B3"/>
    <mergeCell ref="B4:B5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119" min="1" max="1"/>
    <col width="18" customWidth="1" style="119" min="2" max="2"/>
    <col width="39" customWidth="1" style="119" min="3" max="3"/>
    <col width="20.29" customWidth="1" style="119" min="4" max="4"/>
    <col width="18.71" customWidth="1" style="119" min="5" max="5"/>
    <col width="16.71" customWidth="1" style="119" min="6" max="6"/>
    <col width="20.29" customWidth="1" style="119" min="7" max="7"/>
    <col width="20" customWidth="1" style="119" min="8" max="8"/>
    <col width="18.43" customWidth="1" style="119" min="9" max="9"/>
    <col width="25" customWidth="1" style="119" min="10" max="10"/>
  </cols>
  <sheetData>
    <row r="1" ht="31.5" customHeight="1" s="119">
      <c r="A1" s="15" t="inlineStr">
        <is>
          <t>Dataset</t>
        </is>
      </c>
      <c r="B1" s="15" t="inlineStr">
        <is>
          <t>Modality</t>
        </is>
      </c>
      <c r="C1" s="15" t="inlineStr">
        <is>
          <t>Classifier Variant</t>
        </is>
      </c>
      <c r="D1" s="15" t="inlineStr">
        <is>
          <t>Accuracy</t>
        </is>
      </c>
      <c r="E1" s="15" t="inlineStr">
        <is>
          <t>Positive F1</t>
        </is>
      </c>
      <c r="F1" s="22" t="inlineStr">
        <is>
          <t>Recall</t>
        </is>
      </c>
      <c r="G1" s="15" t="inlineStr">
        <is>
          <t>Precision</t>
        </is>
      </c>
      <c r="H1" s="15" t="inlineStr">
        <is>
          <t>Macro F1</t>
        </is>
      </c>
      <c r="I1" s="15" t="inlineStr">
        <is>
          <t>AUROC</t>
        </is>
      </c>
      <c r="J1" s="15" t="inlineStr">
        <is>
          <t>Confusion Matrix</t>
        </is>
      </c>
    </row>
    <row r="2" ht="22.5" customHeight="1" s="119">
      <c r="A2" s="124" t="inlineStr">
        <is>
          <t>daic</t>
        </is>
      </c>
      <c r="B2" s="125" t="inlineStr">
        <is>
          <t>audio_text</t>
        </is>
      </c>
      <c r="C2" s="126" t="inlineStr">
        <is>
          <t>Logistic Regression</t>
        </is>
      </c>
      <c r="D2" s="127" t="n">
        <v>0.851064</v>
      </c>
      <c r="E2" s="127" t="n">
        <v>0.8</v>
      </c>
      <c r="F2" s="127" t="n">
        <v>1</v>
      </c>
      <c r="G2" s="127" t="n">
        <v>0.666667</v>
      </c>
      <c r="H2" s="127" t="n">
        <v>0.840678</v>
      </c>
      <c r="I2" s="127" t="n">
        <v>0.900433</v>
      </c>
      <c r="J2" s="128" t="inlineStr">
        <is>
          <t>[[26, 7], [0, 14]]</t>
        </is>
      </c>
    </row>
    <row r="3" ht="22.5" customHeight="1" s="119">
      <c r="A3" s="129" t="inlineStr">
        <is>
          <t>daic</t>
        </is>
      </c>
      <c r="B3" s="130" t="inlineStr">
        <is>
          <t>audio_text</t>
        </is>
      </c>
      <c r="C3" s="131" t="inlineStr">
        <is>
          <t>XGBoost (fixed raw)</t>
        </is>
      </c>
      <c r="D3" s="131" t="n">
        <v>0.765957</v>
      </c>
      <c r="E3" s="131" t="n">
        <v>0.62069</v>
      </c>
      <c r="F3" s="131" t="n">
        <v>0.642857</v>
      </c>
      <c r="G3" s="131" t="n">
        <v>0.6</v>
      </c>
      <c r="H3" s="131" t="n">
        <v>0.725729</v>
      </c>
      <c r="I3" s="131" t="n">
        <v>0.896104</v>
      </c>
      <c r="J3" s="132" t="inlineStr">
        <is>
          <t>[[27, 6], [5, 9]]</t>
        </is>
      </c>
    </row>
    <row r="4" ht="22.5" customHeight="1" s="119">
      <c r="A4" s="129" t="inlineStr">
        <is>
          <t>daic</t>
        </is>
      </c>
      <c r="B4" s="130" t="inlineStr">
        <is>
          <t>audio_text</t>
        </is>
      </c>
      <c r="C4" s="131" t="inlineStr">
        <is>
          <t>XGBoost Optuna (150t d6, seed1337)</t>
        </is>
      </c>
      <c r="D4" s="131" t="n">
        <v>0.808511</v>
      </c>
      <c r="E4" s="131" t="n">
        <v>0.666667</v>
      </c>
      <c r="F4" s="131" t="n">
        <v>0.642857</v>
      </c>
      <c r="G4" s="131" t="n">
        <v>0.692308</v>
      </c>
      <c r="H4" s="131" t="n">
        <v>0.766169</v>
      </c>
      <c r="I4" s="131" t="n">
        <v>0.887446</v>
      </c>
      <c r="J4" s="132" t="inlineStr">
        <is>
          <t>[[29, 4], [5, 9]]</t>
        </is>
      </c>
    </row>
    <row r="5" ht="22.5" customHeight="1" s="119">
      <c r="A5" s="124" t="inlineStr">
        <is>
          <t>daic</t>
        </is>
      </c>
      <c r="B5" s="125" t="inlineStr">
        <is>
          <t>audio_only</t>
        </is>
      </c>
      <c r="C5" s="126" t="inlineStr">
        <is>
          <t>Logistic Regression</t>
        </is>
      </c>
      <c r="D5" s="127" t="n">
        <v>0.723404</v>
      </c>
      <c r="E5" s="127" t="n">
        <v>0.628571</v>
      </c>
      <c r="F5" s="127" t="n">
        <v>0.785714</v>
      </c>
      <c r="G5" s="127" t="n">
        <v>0.52381</v>
      </c>
      <c r="H5" s="127" t="n">
        <v>0.704116</v>
      </c>
      <c r="I5" s="127" t="n">
        <v>0.7792210000000001</v>
      </c>
      <c r="J5" s="128" t="inlineStr">
        <is>
          <t>[[23, 10], [3, 11]]</t>
        </is>
      </c>
    </row>
    <row r="6" ht="22.5" customHeight="1" s="119">
      <c r="A6" s="129" t="inlineStr">
        <is>
          <t>daic</t>
        </is>
      </c>
      <c r="B6" s="130" t="inlineStr">
        <is>
          <t>audio_only</t>
        </is>
      </c>
      <c r="C6" s="131" t="inlineStr">
        <is>
          <t>XGBoost (fixed raw)</t>
        </is>
      </c>
      <c r="D6" s="131" t="n">
        <v>0.765957</v>
      </c>
      <c r="E6" s="131" t="n">
        <v>0.592593</v>
      </c>
      <c r="F6" s="131" t="n">
        <v>0.571429</v>
      </c>
      <c r="G6" s="131" t="n">
        <v>0.615385</v>
      </c>
      <c r="H6" s="131" t="n">
        <v>0.714207</v>
      </c>
      <c r="I6" s="131" t="n">
        <v>0.781385</v>
      </c>
      <c r="J6" s="132" t="inlineStr">
        <is>
          <t>[[28, 5], [6, 8]]</t>
        </is>
      </c>
    </row>
    <row r="7" ht="22.5" customHeight="1" s="119">
      <c r="A7" s="129" t="inlineStr">
        <is>
          <t>daic</t>
        </is>
      </c>
      <c r="B7" s="130" t="inlineStr">
        <is>
          <t>audio_only</t>
        </is>
      </c>
      <c r="C7" s="131" t="inlineStr">
        <is>
          <t>XGBoost Optuna (150t d6, seed1337)</t>
        </is>
      </c>
      <c r="D7" s="131" t="n">
        <v>0.723404</v>
      </c>
      <c r="E7" s="131" t="n">
        <v>0.648649</v>
      </c>
      <c r="F7" s="131" t="n">
        <v>0.857143</v>
      </c>
      <c r="G7" s="131" t="n">
        <v>0.521739</v>
      </c>
      <c r="H7" s="131" t="n">
        <v>0.7102889999999999</v>
      </c>
      <c r="I7" s="131" t="n">
        <v>0.80303</v>
      </c>
      <c r="J7" s="132" t="inlineStr">
        <is>
          <t>[[22, 11], [2, 12]]</t>
        </is>
      </c>
    </row>
    <row r="8" ht="22.5" customHeight="1" s="119">
      <c r="A8" s="124" t="inlineStr">
        <is>
          <t>daic</t>
        </is>
      </c>
      <c r="B8" s="125" t="inlineStr">
        <is>
          <t>text_only</t>
        </is>
      </c>
      <c r="C8" s="126" t="inlineStr">
        <is>
          <t>Logistic Regression</t>
        </is>
      </c>
      <c r="D8" s="127" t="n">
        <v>0.851064</v>
      </c>
      <c r="E8" s="127" t="n">
        <v>0.740741</v>
      </c>
      <c r="F8" s="127" t="n">
        <v>0.714286</v>
      </c>
      <c r="G8" s="127" t="n">
        <v>0.769231</v>
      </c>
      <c r="H8" s="127" t="n">
        <v>0.818132</v>
      </c>
      <c r="I8" s="127" t="n">
        <v>0.926407</v>
      </c>
      <c r="J8" s="128" t="inlineStr">
        <is>
          <t>[[30, 3], [4, 10]]</t>
        </is>
      </c>
    </row>
    <row r="9" ht="22.5" customHeight="1" s="119">
      <c r="A9" s="129" t="inlineStr">
        <is>
          <t>daic</t>
        </is>
      </c>
      <c r="B9" s="130" t="inlineStr">
        <is>
          <t>text_only</t>
        </is>
      </c>
      <c r="C9" s="131" t="inlineStr">
        <is>
          <t>XGBoost (fixed raw)</t>
        </is>
      </c>
      <c r="D9" s="131" t="n">
        <v>0.8297870000000001</v>
      </c>
      <c r="E9" s="131" t="n">
        <v>0.692308</v>
      </c>
      <c r="F9" s="131" t="n">
        <v>0.642857</v>
      </c>
      <c r="G9" s="131" t="n">
        <v>0.75</v>
      </c>
      <c r="H9" s="131" t="n">
        <v>0.78733</v>
      </c>
      <c r="I9" s="131" t="n">
        <v>0.930736</v>
      </c>
      <c r="J9" s="132" t="inlineStr">
        <is>
          <t>[[30, 3], [5, 9]]</t>
        </is>
      </c>
    </row>
    <row r="10" ht="22.5" customHeight="1" s="119">
      <c r="A10" s="129" t="inlineStr">
        <is>
          <t>daic</t>
        </is>
      </c>
      <c r="B10" s="130" t="inlineStr">
        <is>
          <t>text_only</t>
        </is>
      </c>
      <c r="C10" s="131" t="inlineStr">
        <is>
          <t>XGBoost Optuna (150t d6, seed1337)</t>
        </is>
      </c>
      <c r="D10" s="131" t="n">
        <v>0.851064</v>
      </c>
      <c r="E10" s="131" t="n">
        <v>0.740741</v>
      </c>
      <c r="F10" s="131" t="n">
        <v>0.714286</v>
      </c>
      <c r="G10" s="131" t="n">
        <v>0.769231</v>
      </c>
      <c r="H10" s="131" t="n">
        <v>0.818132</v>
      </c>
      <c r="I10" s="131" t="n">
        <v>0.917749</v>
      </c>
      <c r="J10" s="132" t="inlineStr">
        <is>
          <t>[[30, 3], [4, 10]]</t>
        </is>
      </c>
    </row>
    <row r="11" ht="22.5" customHeight="1" s="119">
      <c r="A11" s="133" t="inlineStr">
        <is>
          <t>cmdc</t>
        </is>
      </c>
      <c r="B11" s="134" t="inlineStr">
        <is>
          <t>audio_text</t>
        </is>
      </c>
      <c r="C11" s="135" t="inlineStr">
        <is>
          <t>Logistic Regression</t>
        </is>
      </c>
      <c r="D11" s="136" t="n">
        <v>0.987179</v>
      </c>
      <c r="E11" s="136" t="n">
        <v>0.980392</v>
      </c>
      <c r="F11" s="136" t="n">
        <v>0.961538</v>
      </c>
      <c r="G11" s="136" t="n">
        <v>1</v>
      </c>
      <c r="H11" s="136" t="n">
        <v>0.985434</v>
      </c>
      <c r="I11" s="136" t="n">
        <v>0.9955619999999999</v>
      </c>
      <c r="J11" s="137" t="inlineStr">
        <is>
          <t>[[52, 0], [1, 25]]</t>
        </is>
      </c>
    </row>
    <row r="12" ht="22.5" customHeight="1" s="119">
      <c r="A12" s="138" t="inlineStr">
        <is>
          <t>cmdc</t>
        </is>
      </c>
      <c r="B12" s="139" t="inlineStr">
        <is>
          <t>audio_text</t>
        </is>
      </c>
      <c r="C12" s="140" t="inlineStr">
        <is>
          <t>XGBoost (fixed raw)</t>
        </is>
      </c>
      <c r="D12" s="140" t="n">
        <v>0.974359</v>
      </c>
      <c r="E12" s="140" t="n">
        <v>0.96</v>
      </c>
      <c r="F12" s="140" t="n">
        <v>0.923077</v>
      </c>
      <c r="G12" s="140" t="n">
        <v>1</v>
      </c>
      <c r="H12" s="140" t="n">
        <v>0.970566</v>
      </c>
      <c r="I12" s="140" t="n">
        <v>0.993343</v>
      </c>
      <c r="J12" s="141" t="inlineStr">
        <is>
          <t>[[52, 0], [2, 24]]</t>
        </is>
      </c>
    </row>
    <row r="13" ht="22.5" customHeight="1" s="119">
      <c r="A13" s="138" t="inlineStr">
        <is>
          <t>cmdc</t>
        </is>
      </c>
      <c r="B13" s="139" t="inlineStr">
        <is>
          <t>audio_text</t>
        </is>
      </c>
      <c r="C13" s="140" t="inlineStr">
        <is>
          <t>XGBoost Optuna (150t d6, seed1337)</t>
        </is>
      </c>
      <c r="D13" s="140" t="n">
        <v>0.987179</v>
      </c>
      <c r="E13" s="140" t="n">
        <v>0.980392</v>
      </c>
      <c r="F13" s="140" t="n">
        <v>0.961538</v>
      </c>
      <c r="G13" s="140" t="n">
        <v>1</v>
      </c>
      <c r="H13" s="140" t="n">
        <v>0.985434</v>
      </c>
      <c r="I13" s="140" t="n">
        <v>0.994083</v>
      </c>
      <c r="J13" s="141" t="inlineStr">
        <is>
          <t>[[52, 0], [1, 25]]</t>
        </is>
      </c>
    </row>
    <row r="14">
      <c r="A14" s="133" t="inlineStr">
        <is>
          <t>cmdc</t>
        </is>
      </c>
      <c r="B14" s="134" t="inlineStr">
        <is>
          <t>audio_only</t>
        </is>
      </c>
      <c r="C14" s="135" t="inlineStr">
        <is>
          <t>Logistic Regression</t>
        </is>
      </c>
      <c r="D14" s="136" t="n">
        <v>0.987179</v>
      </c>
      <c r="E14" s="136" t="n">
        <v>0.980392</v>
      </c>
      <c r="F14" s="136" t="n">
        <v>0.961538</v>
      </c>
      <c r="G14" s="136" t="n">
        <v>1</v>
      </c>
      <c r="H14" s="136" t="n">
        <v>0.985434</v>
      </c>
      <c r="I14" s="136" t="n">
        <v>0.985947</v>
      </c>
      <c r="J14" s="137" t="inlineStr">
        <is>
          <t>[[52, 0], [1, 25]]</t>
        </is>
      </c>
    </row>
    <row r="15">
      <c r="A15" s="138" t="inlineStr">
        <is>
          <t>cmdc</t>
        </is>
      </c>
      <c r="B15" s="139" t="inlineStr">
        <is>
          <t>audio_only</t>
        </is>
      </c>
      <c r="C15" s="140" t="inlineStr">
        <is>
          <t>XGBoost (fixed raw)</t>
        </is>
      </c>
      <c r="D15" s="140" t="n">
        <v>0.987179</v>
      </c>
      <c r="E15" s="140" t="n">
        <v>0.980392</v>
      </c>
      <c r="F15" s="140" t="n">
        <v>0.961538</v>
      </c>
      <c r="G15" s="140" t="n">
        <v>1</v>
      </c>
      <c r="H15" s="140" t="n">
        <v>0.985434</v>
      </c>
      <c r="I15" s="140" t="n">
        <v>0.9852070000000001</v>
      </c>
      <c r="J15" s="141" t="inlineStr">
        <is>
          <t>[[52, 0], [1, 25]]</t>
        </is>
      </c>
    </row>
    <row r="16">
      <c r="A16" s="138" t="inlineStr">
        <is>
          <t>cmdc</t>
        </is>
      </c>
      <c r="B16" s="139" t="inlineStr">
        <is>
          <t>audio_only</t>
        </is>
      </c>
      <c r="C16" s="140" t="inlineStr">
        <is>
          <t>XGBoost Optuna (150t d6, seed1337)</t>
        </is>
      </c>
      <c r="D16" s="140" t="n">
        <v>0.987179</v>
      </c>
      <c r="E16" s="140" t="n">
        <v>0.980392</v>
      </c>
      <c r="F16" s="140" t="n">
        <v>0.961538</v>
      </c>
      <c r="G16" s="140" t="n">
        <v>1</v>
      </c>
      <c r="H16" s="140" t="n">
        <v>0.985434</v>
      </c>
      <c r="I16" s="140" t="n">
        <v>0.988166</v>
      </c>
      <c r="J16" s="141" t="inlineStr">
        <is>
          <t>[[52, 0], [1, 25]]</t>
        </is>
      </c>
    </row>
    <row r="17">
      <c r="A17" s="133" t="inlineStr">
        <is>
          <t>cmdc</t>
        </is>
      </c>
      <c r="B17" s="134" t="inlineStr">
        <is>
          <t>text_only</t>
        </is>
      </c>
      <c r="C17" s="135" t="inlineStr">
        <is>
          <t>Logistic Regression</t>
        </is>
      </c>
      <c r="D17" s="136" t="n">
        <v>0.987179</v>
      </c>
      <c r="E17" s="136" t="n">
        <v>0.980392</v>
      </c>
      <c r="F17" s="136" t="n">
        <v>0.961538</v>
      </c>
      <c r="G17" s="136" t="n">
        <v>1</v>
      </c>
      <c r="H17" s="136" t="n">
        <v>0.985434</v>
      </c>
      <c r="I17" s="136" t="n">
        <v>0.99926</v>
      </c>
      <c r="J17" s="137" t="inlineStr">
        <is>
          <t>[[52, 0], [1, 25]]</t>
        </is>
      </c>
    </row>
    <row r="18">
      <c r="A18" s="138" t="inlineStr">
        <is>
          <t>cmdc</t>
        </is>
      </c>
      <c r="B18" s="139" t="inlineStr">
        <is>
          <t>text_only</t>
        </is>
      </c>
      <c r="C18" s="140" t="inlineStr">
        <is>
          <t>XGBoost (fixed raw)</t>
        </is>
      </c>
      <c r="D18" s="140" t="n">
        <v>0.974359</v>
      </c>
      <c r="E18" s="140" t="n">
        <v>0.96</v>
      </c>
      <c r="F18" s="140" t="n">
        <v>0.923077</v>
      </c>
      <c r="G18" s="140" t="n">
        <v>1</v>
      </c>
      <c r="H18" s="140" t="n">
        <v>0.970566</v>
      </c>
      <c r="I18" s="140" t="n">
        <v>0.998521</v>
      </c>
      <c r="J18" s="141" t="inlineStr">
        <is>
          <t>[[52, 0], [2, 24]]</t>
        </is>
      </c>
    </row>
    <row r="19">
      <c r="A19" s="138" t="inlineStr">
        <is>
          <t>cmdc</t>
        </is>
      </c>
      <c r="B19" s="139" t="inlineStr">
        <is>
          <t>text_only</t>
        </is>
      </c>
      <c r="C19" s="140" t="inlineStr">
        <is>
          <t>XGBoost Optuna (150t d6, seed1337)</t>
        </is>
      </c>
      <c r="D19" s="140" t="n">
        <v>0.974359</v>
      </c>
      <c r="E19" s="140" t="n">
        <v>0.961538</v>
      </c>
      <c r="F19" s="140" t="n">
        <v>0.961538</v>
      </c>
      <c r="G19" s="140" t="n">
        <v>0.961538</v>
      </c>
      <c r="H19" s="140" t="n">
        <v>0.971154</v>
      </c>
      <c r="I19" s="140" t="n">
        <v>0.997041</v>
      </c>
      <c r="J19" s="141" t="inlineStr">
        <is>
          <t>[[51, 1], [1, 25]]</t>
        </is>
      </c>
    </row>
    <row r="20">
      <c r="A20" s="142" t="inlineStr">
        <is>
          <t>turkish</t>
        </is>
      </c>
      <c r="B20" s="143" t="inlineStr">
        <is>
          <t>audio_text</t>
        </is>
      </c>
      <c r="C20" s="144" t="inlineStr">
        <is>
          <t>Logistic Regression</t>
        </is>
      </c>
      <c r="D20" s="145" t="n">
        <v>0.6</v>
      </c>
      <c r="E20" s="145" t="n">
        <v>0.7241379999999999</v>
      </c>
      <c r="F20" s="145" t="n">
        <v>0.759036</v>
      </c>
      <c r="G20" s="145" t="n">
        <v>0.692308</v>
      </c>
      <c r="H20" s="145" t="n">
        <v>0.498433</v>
      </c>
      <c r="I20" s="145" t="n">
        <v>0.4803</v>
      </c>
      <c r="J20" s="146" t="inlineStr">
        <is>
          <t>[[9, 28], [20, 63]]</t>
        </is>
      </c>
    </row>
    <row r="21" ht="15.75" customHeight="1" s="119">
      <c r="A21" s="147" t="inlineStr">
        <is>
          <t>turkish</t>
        </is>
      </c>
      <c r="B21" s="148" t="inlineStr">
        <is>
          <t>audio_text</t>
        </is>
      </c>
      <c r="C21" s="149" t="inlineStr">
        <is>
          <t>XGBoost (fixed raw)</t>
        </is>
      </c>
      <c r="D21" s="149" t="n">
        <v>0.65</v>
      </c>
      <c r="E21" s="149" t="n">
        <v>0.783505</v>
      </c>
      <c r="F21" s="149" t="n">
        <v>0.915663</v>
      </c>
      <c r="G21" s="149" t="n">
        <v>0.684685</v>
      </c>
      <c r="H21" s="149" t="n">
        <v>0.435231</v>
      </c>
      <c r="I21" s="149" t="n">
        <v>0.600456</v>
      </c>
      <c r="J21" s="150" t="inlineStr">
        <is>
          <t>[[2, 35], [7, 76]]</t>
        </is>
      </c>
    </row>
    <row r="22" ht="15.75" customHeight="1" s="119">
      <c r="A22" s="147" t="inlineStr">
        <is>
          <t>turkish</t>
        </is>
      </c>
      <c r="B22" s="148" t="inlineStr">
        <is>
          <t>audio_text</t>
        </is>
      </c>
      <c r="C22" s="149" t="inlineStr">
        <is>
          <t>XGBoost Optuna (150t d6, seed1337)</t>
        </is>
      </c>
      <c r="D22" s="149" t="n">
        <v>0.616667</v>
      </c>
      <c r="E22" s="149" t="n">
        <v>0.7294119999999999</v>
      </c>
      <c r="F22" s="149" t="n">
        <v>0.746988</v>
      </c>
      <c r="G22" s="149" t="n">
        <v>0.7126440000000001</v>
      </c>
      <c r="H22" s="149" t="n">
        <v>0.536134</v>
      </c>
      <c r="I22" s="149" t="n">
        <v>0.542494</v>
      </c>
      <c r="J22" s="150" t="inlineStr">
        <is>
          <t>[[12, 25], [21, 62]]</t>
        </is>
      </c>
    </row>
    <row r="23" ht="15.75" customHeight="1" s="119">
      <c r="A23" s="142" t="inlineStr">
        <is>
          <t>turkish</t>
        </is>
      </c>
      <c r="B23" s="143" t="inlineStr">
        <is>
          <t>audio_only</t>
        </is>
      </c>
      <c r="C23" s="144" t="inlineStr">
        <is>
          <t>Logistic Regression</t>
        </is>
      </c>
      <c r="D23" s="145" t="n">
        <v>0.683333</v>
      </c>
      <c r="E23" s="145" t="n">
        <v>0.788889</v>
      </c>
      <c r="F23" s="145" t="n">
        <v>0.855422</v>
      </c>
      <c r="G23" s="145" t="n">
        <v>0.731959</v>
      </c>
      <c r="H23" s="145" t="n">
        <v>0.577778</v>
      </c>
      <c r="I23" s="145" t="n">
        <v>0.613807</v>
      </c>
      <c r="J23" s="146" t="inlineStr">
        <is>
          <t>[[11, 26], [12, 71]]</t>
        </is>
      </c>
    </row>
    <row r="24" ht="15.75" customHeight="1" s="119">
      <c r="A24" s="147" t="inlineStr">
        <is>
          <t>turkish</t>
        </is>
      </c>
      <c r="B24" s="148" t="inlineStr">
        <is>
          <t>audio_only</t>
        </is>
      </c>
      <c r="C24" s="149" t="inlineStr">
        <is>
          <t>XGBoost (fixed raw)</t>
        </is>
      </c>
      <c r="D24" s="149" t="n">
        <v>0.7166670000000001</v>
      </c>
      <c r="E24" s="149" t="n">
        <v>0.83</v>
      </c>
      <c r="F24" s="149" t="n">
        <v>1</v>
      </c>
      <c r="G24" s="149" t="n">
        <v>0.709402</v>
      </c>
      <c r="H24" s="149" t="n">
        <v>0.49</v>
      </c>
      <c r="I24" s="149" t="n">
        <v>0.64181</v>
      </c>
      <c r="J24" s="150" t="inlineStr">
        <is>
          <t>[[3, 34], [0, 83]]</t>
        </is>
      </c>
    </row>
    <row r="25" ht="15.75" customHeight="1" s="119">
      <c r="A25" s="147" t="inlineStr">
        <is>
          <t>turkish</t>
        </is>
      </c>
      <c r="B25" s="148" t="inlineStr">
        <is>
          <t>audio_only</t>
        </is>
      </c>
      <c r="C25" s="149" t="inlineStr">
        <is>
          <t>XGBoost Optuna (150t d8, seed1337)</t>
        </is>
      </c>
      <c r="D25" s="149" t="n">
        <v>0.683333</v>
      </c>
      <c r="E25" s="149" t="n">
        <v>0.793478</v>
      </c>
      <c r="F25" s="149" t="n">
        <v>0.879518</v>
      </c>
      <c r="G25" s="149" t="n">
        <v>0.722772</v>
      </c>
      <c r="H25" s="149" t="n">
        <v>0.557453</v>
      </c>
      <c r="I25" s="149" t="n">
        <v>0.664604</v>
      </c>
      <c r="J25" s="150" t="inlineStr">
        <is>
          <t>[[9, 28], [10, 73]]</t>
        </is>
      </c>
    </row>
    <row r="26" ht="15.75" customHeight="1" s="119">
      <c r="A26" s="142" t="inlineStr">
        <is>
          <t>turkish</t>
        </is>
      </c>
      <c r="B26" s="143" t="inlineStr">
        <is>
          <t>text_only</t>
        </is>
      </c>
      <c r="C26" s="144" t="inlineStr">
        <is>
          <t>Logistic Regression</t>
        </is>
      </c>
      <c r="D26" s="145" t="n">
        <v>0.583333</v>
      </c>
      <c r="E26" s="145" t="n">
        <v>0.666667</v>
      </c>
      <c r="F26" s="145" t="n">
        <v>0.60241</v>
      </c>
      <c r="G26" s="145" t="n">
        <v>0.746269</v>
      </c>
      <c r="H26" s="145" t="n">
        <v>0.555556</v>
      </c>
      <c r="I26" s="145" t="n">
        <v>0.616412</v>
      </c>
      <c r="J26" s="146" t="inlineStr">
        <is>
          <t>[[20, 17], [33, 50]]</t>
        </is>
      </c>
    </row>
    <row r="27" ht="15.75" customHeight="1" s="119">
      <c r="A27" s="147" t="inlineStr">
        <is>
          <t>turkish</t>
        </is>
      </c>
      <c r="B27" s="148" t="inlineStr">
        <is>
          <t>text_only</t>
        </is>
      </c>
      <c r="C27" s="149" t="inlineStr">
        <is>
          <t>XGBoost (fixed raw)</t>
        </is>
      </c>
      <c r="D27" s="149" t="n">
        <v>0.683333</v>
      </c>
      <c r="E27" s="149" t="n">
        <v>0.77381</v>
      </c>
      <c r="F27" s="149" t="n">
        <v>0.783133</v>
      </c>
      <c r="G27" s="149" t="n">
        <v>0.764706</v>
      </c>
      <c r="H27" s="149" t="n">
        <v>0.623016</v>
      </c>
      <c r="I27" s="149" t="n">
        <v>0.677304</v>
      </c>
      <c r="J27" s="150" t="inlineStr">
        <is>
          <t>[[17, 20], [18, 65]]</t>
        </is>
      </c>
    </row>
    <row r="28" ht="15.75" customHeight="1" s="119">
      <c r="A28" s="147" t="inlineStr">
        <is>
          <t>turkish</t>
        </is>
      </c>
      <c r="B28" s="148" t="inlineStr">
        <is>
          <t>text_only</t>
        </is>
      </c>
      <c r="C28" s="149" t="inlineStr">
        <is>
          <t>XGBoost Optuna (50t d6, seed1337)</t>
        </is>
      </c>
      <c r="D28" s="149" t="n">
        <v>0.641667</v>
      </c>
      <c r="E28" s="149" t="n">
        <v>0.726115</v>
      </c>
      <c r="F28" s="149" t="n">
        <v>0.686747</v>
      </c>
      <c r="G28" s="149" t="n">
        <v>0.77027</v>
      </c>
      <c r="H28" s="149" t="n">
        <v>0.604021</v>
      </c>
      <c r="I28" s="149" t="n">
        <v>0.646695</v>
      </c>
      <c r="J28" s="150" t="inlineStr">
        <is>
          <t>[[20, 17], [26, 57]]</t>
        </is>
      </c>
    </row>
    <row r="29" ht="15.75" customHeight="1" s="119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  <c r="J29" s="41" t="n"/>
    </row>
    <row r="30" ht="15.75" customHeight="1" s="119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  <c r="J30" s="41" t="n"/>
    </row>
    <row r="31" ht="15.75" customHeight="1" s="119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  <c r="J31" s="41" t="n"/>
    </row>
    <row r="32" ht="15.75" customHeight="1" s="119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  <c r="J32" s="41" t="n"/>
    </row>
    <row r="33" ht="15.75" customHeight="1" s="119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  <c r="J33" s="41" t="n"/>
    </row>
    <row r="34" ht="15.75" customHeight="1" s="119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  <c r="J34" s="41" t="n"/>
    </row>
    <row r="35" ht="15.75" customHeight="1" s="119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  <c r="J35" s="41" t="n"/>
    </row>
    <row r="36" ht="15.75" customHeight="1" s="119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  <c r="J36" s="41" t="n"/>
    </row>
    <row r="37" ht="15.75" customHeight="1" s="119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  <c r="J37" s="41" t="n"/>
    </row>
    <row r="38" ht="15.75" customHeight="1" s="119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  <c r="J38" s="41" t="n"/>
    </row>
    <row r="39" ht="15.75" customHeight="1" s="119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</row>
    <row r="40" ht="15.75" customHeight="1" s="119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  <c r="J40" s="41" t="n"/>
    </row>
    <row r="41" ht="15.75" customHeight="1" s="119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  <c r="J41" s="41" t="n"/>
    </row>
    <row r="42" ht="15.75" customHeight="1" s="119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  <c r="J42" s="41" t="n"/>
    </row>
    <row r="43" ht="15.75" customHeight="1" s="119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</row>
    <row r="44" ht="15.75" customHeight="1" s="119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  <c r="J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  <c r="J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  <c r="J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  <c r="J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  <c r="J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  <c r="J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  <c r="J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  <c r="J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  <c r="J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  <c r="J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  <c r="J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  <c r="J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  <c r="J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  <c r="J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  <c r="J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  <c r="J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  <c r="J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  <c r="J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  <c r="J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  <c r="J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  <c r="J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  <c r="J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  <c r="J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  <c r="J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  <c r="J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  <c r="J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  <c r="J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  <c r="J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  <c r="J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  <c r="J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  <c r="J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  <c r="J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  <c r="J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  <c r="J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  <c r="J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  <c r="J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  <c r="J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  <c r="J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  <c r="J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  <c r="J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  <c r="J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  <c r="J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  <c r="J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  <c r="J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  <c r="J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  <c r="J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  <c r="J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  <c r="J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  <c r="J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  <c r="J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  <c r="J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  <c r="J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  <c r="J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  <c r="J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  <c r="J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  <c r="J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  <c r="J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  <c r="J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  <c r="J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  <c r="J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  <c r="J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  <c r="J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  <c r="J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  <c r="J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  <c r="J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  <c r="J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  <c r="J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  <c r="J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  <c r="J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  <c r="J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  <c r="J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  <c r="J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  <c r="J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  <c r="J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  <c r="J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  <c r="J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  <c r="J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  <c r="J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  <c r="J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  <c r="J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  <c r="J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  <c r="J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  <c r="J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  <c r="J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  <c r="J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  <c r="J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  <c r="J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  <c r="J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  <c r="J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  <c r="J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  <c r="J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  <c r="J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  <c r="J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  <c r="J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  <c r="J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  <c r="J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  <c r="J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  <c r="J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  <c r="J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  <c r="J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  <c r="J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  <c r="J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  <c r="J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  <c r="J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  <c r="J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  <c r="J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  <c r="J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  <c r="J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  <c r="J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  <c r="J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  <c r="J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  <c r="J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  <c r="J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  <c r="J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  <c r="J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  <c r="J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  <c r="J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  <c r="J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  <c r="J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  <c r="J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  <c r="J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  <c r="J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  <c r="J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  <c r="J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  <c r="J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  <c r="J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  <c r="J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  <c r="J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  <c r="J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  <c r="J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  <c r="J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  <c r="J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  <c r="J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  <c r="J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  <c r="J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  <c r="J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  <c r="J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  <c r="J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  <c r="J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  <c r="J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  <c r="J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  <c r="J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  <c r="J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  <c r="J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  <c r="J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  <c r="J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  <c r="J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  <c r="J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  <c r="J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  <c r="J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  <c r="J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  <c r="J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  <c r="J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  <c r="J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  <c r="J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  <c r="J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  <c r="J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  <c r="J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  <c r="J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  <c r="J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  <c r="J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  <c r="J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  <c r="J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  <c r="J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  <c r="J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  <c r="J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  <c r="J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  <c r="J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  <c r="J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  <c r="J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  <c r="J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  <c r="J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  <c r="J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  <c r="J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  <c r="J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  <c r="J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  <c r="J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  <c r="J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  <c r="J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  <c r="J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  <c r="J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  <c r="J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  <c r="J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  <c r="J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  <c r="J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  <c r="J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  <c r="J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  <c r="J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  <c r="J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  <c r="J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  <c r="J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  <c r="J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  <c r="J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  <c r="J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  <c r="J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  <c r="J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  <c r="J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  <c r="J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  <c r="J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  <c r="J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  <c r="J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  <c r="J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  <c r="J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  <c r="J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  <c r="J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  <c r="J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  <c r="J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  <c r="J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  <c r="J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  <c r="J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  <c r="J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  <c r="J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  <c r="J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  <c r="J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  <c r="J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  <c r="J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  <c r="J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  <c r="J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  <c r="J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  <c r="J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  <c r="J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  <c r="J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  <c r="J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  <c r="J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  <c r="J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  <c r="J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  <c r="J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  <c r="J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  <c r="J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  <c r="J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  <c r="J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  <c r="J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  <c r="J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  <c r="J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  <c r="J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  <c r="J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  <c r="J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  <c r="J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  <c r="J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  <c r="J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  <c r="J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  <c r="J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  <c r="J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  <c r="J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  <c r="J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  <c r="J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  <c r="J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  <c r="J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  <c r="J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  <c r="J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  <c r="J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  <c r="J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  <c r="J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  <c r="J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  <c r="J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  <c r="J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  <c r="J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  <c r="J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  <c r="J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  <c r="J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  <c r="J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  <c r="J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  <c r="J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  <c r="J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  <c r="J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  <c r="J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  <c r="J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  <c r="J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  <c r="J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  <c r="J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  <c r="J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  <c r="J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  <c r="J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  <c r="J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  <c r="J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  <c r="J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  <c r="J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  <c r="J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  <c r="J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  <c r="J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  <c r="J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  <c r="J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  <c r="J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  <c r="J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  <c r="J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  <c r="J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  <c r="J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  <c r="J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  <c r="J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  <c r="J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  <c r="J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  <c r="J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  <c r="J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  <c r="J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  <c r="J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  <c r="J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  <c r="J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  <c r="J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  <c r="J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  <c r="J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  <c r="J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  <c r="J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  <c r="J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  <c r="J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  <c r="J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  <c r="J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  <c r="J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  <c r="J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  <c r="J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  <c r="J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  <c r="J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  <c r="J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  <c r="J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  <c r="J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  <c r="J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  <c r="J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  <c r="J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  <c r="J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  <c r="J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  <c r="J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  <c r="J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  <c r="J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  <c r="J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  <c r="J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  <c r="J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  <c r="J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  <c r="J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  <c r="J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  <c r="J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  <c r="J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  <c r="J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  <c r="J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  <c r="J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  <c r="J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  <c r="J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  <c r="J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  <c r="J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  <c r="J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  <c r="J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  <c r="J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  <c r="J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  <c r="J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  <c r="J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  <c r="J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  <c r="J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  <c r="J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  <c r="J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  <c r="J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  <c r="J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  <c r="J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  <c r="J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  <c r="J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  <c r="J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  <c r="J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  <c r="J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  <c r="J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  <c r="J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  <c r="J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  <c r="J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  <c r="J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  <c r="J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  <c r="J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  <c r="J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  <c r="J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  <c r="J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  <c r="J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  <c r="J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  <c r="J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  <c r="J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  <c r="J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  <c r="J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  <c r="J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  <c r="J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  <c r="J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  <c r="J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  <c r="J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  <c r="J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  <c r="J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  <c r="J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  <c r="J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  <c r="J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  <c r="J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  <c r="J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  <c r="J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  <c r="J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  <c r="J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  <c r="J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  <c r="J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  <c r="J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  <c r="J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  <c r="J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  <c r="J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  <c r="J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  <c r="J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  <c r="J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  <c r="J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  <c r="J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  <c r="J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  <c r="J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  <c r="J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  <c r="J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  <c r="J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  <c r="J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  <c r="J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  <c r="J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  <c r="J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  <c r="J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  <c r="J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  <c r="J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  <c r="J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  <c r="J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  <c r="J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  <c r="J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  <c r="J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  <c r="J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  <c r="J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  <c r="J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  <c r="J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  <c r="J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  <c r="J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  <c r="J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  <c r="J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  <c r="J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  <c r="J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  <c r="J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  <c r="J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  <c r="J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  <c r="J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  <c r="J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  <c r="J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  <c r="J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  <c r="J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  <c r="J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  <c r="J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  <c r="J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  <c r="J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  <c r="J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  <c r="J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  <c r="J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  <c r="J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  <c r="J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  <c r="J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  <c r="J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  <c r="J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  <c r="J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  <c r="J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  <c r="J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  <c r="J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  <c r="J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  <c r="J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  <c r="J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  <c r="J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  <c r="J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  <c r="J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  <c r="J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  <c r="J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  <c r="J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  <c r="J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  <c r="J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  <c r="J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  <c r="J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  <c r="J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  <c r="J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  <c r="J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  <c r="J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  <c r="J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  <c r="J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  <c r="J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  <c r="J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  <c r="J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  <c r="J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  <c r="J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  <c r="J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  <c r="J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  <c r="J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  <c r="J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  <c r="J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  <c r="J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  <c r="J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  <c r="J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  <c r="J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  <c r="J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  <c r="J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  <c r="J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  <c r="J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  <c r="J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  <c r="J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  <c r="J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  <c r="J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  <c r="J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  <c r="J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  <c r="J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  <c r="J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  <c r="J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  <c r="J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  <c r="J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  <c r="J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  <c r="J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  <c r="J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  <c r="J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  <c r="J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  <c r="J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  <c r="J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  <c r="J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  <c r="J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  <c r="J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  <c r="J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  <c r="J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  <c r="J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  <c r="J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  <c r="J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  <c r="J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  <c r="J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  <c r="J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  <c r="J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  <c r="J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  <c r="J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  <c r="J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  <c r="J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  <c r="J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  <c r="J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  <c r="J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  <c r="J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  <c r="J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  <c r="J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  <c r="J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  <c r="J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  <c r="J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  <c r="J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  <c r="J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  <c r="J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  <c r="J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  <c r="J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  <c r="J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  <c r="J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  <c r="J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  <c r="J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  <c r="J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  <c r="J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  <c r="J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  <c r="J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  <c r="J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  <c r="J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  <c r="J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  <c r="J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  <c r="J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  <c r="J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  <c r="J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  <c r="J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  <c r="J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  <c r="J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  <c r="J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  <c r="J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  <c r="J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  <c r="J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  <c r="J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  <c r="J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  <c r="J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  <c r="J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  <c r="J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  <c r="J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  <c r="J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  <c r="J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  <c r="J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  <c r="J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  <c r="J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  <c r="J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  <c r="J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  <c r="J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  <c r="J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  <c r="J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  <c r="J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  <c r="J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  <c r="J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  <c r="J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  <c r="J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  <c r="J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  <c r="J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  <c r="J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  <c r="J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  <c r="J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  <c r="J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  <c r="J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  <c r="J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  <c r="J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  <c r="J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  <c r="J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  <c r="J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  <c r="J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  <c r="J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  <c r="J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  <c r="J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  <c r="J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  <c r="J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  <c r="J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  <c r="J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  <c r="J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  <c r="J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  <c r="J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  <c r="J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  <c r="J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  <c r="J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  <c r="J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  <c r="J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  <c r="J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  <c r="J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  <c r="J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  <c r="J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  <c r="J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  <c r="J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  <c r="J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  <c r="J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  <c r="J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  <c r="J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  <c r="J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  <c r="J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  <c r="J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  <c r="J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  <c r="J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  <c r="J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  <c r="J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  <c r="J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  <c r="J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  <c r="J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  <c r="J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  <c r="J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  <c r="J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  <c r="J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  <c r="J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  <c r="J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  <c r="J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  <c r="J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  <c r="J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  <c r="J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  <c r="J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  <c r="J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  <c r="J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  <c r="J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  <c r="J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  <c r="J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  <c r="J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  <c r="J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  <c r="J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  <c r="J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  <c r="J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  <c r="J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  <c r="J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  <c r="J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  <c r="J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  <c r="J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  <c r="J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  <c r="J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  <c r="J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  <c r="J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  <c r="J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  <c r="J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  <c r="J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  <c r="J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  <c r="J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  <c r="J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  <c r="J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  <c r="J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  <c r="J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  <c r="J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  <c r="J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  <c r="J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  <c r="J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  <c r="J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  <c r="J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  <c r="J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  <c r="J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  <c r="J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  <c r="J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  <c r="J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  <c r="J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  <c r="J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  <c r="J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  <c r="J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  <c r="J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  <c r="J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  <c r="J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  <c r="J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  <c r="J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  <c r="J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  <c r="J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  <c r="J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  <c r="J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  <c r="J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  <c r="J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  <c r="J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  <c r="J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  <c r="J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  <c r="J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  <c r="J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  <c r="J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  <c r="J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  <c r="J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  <c r="J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  <c r="J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  <c r="J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  <c r="J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  <c r="J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  <c r="J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  <c r="J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  <c r="J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  <c r="J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  <c r="J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  <c r="J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  <c r="J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  <c r="J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  <c r="J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  <c r="J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  <c r="J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  <c r="J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  <c r="J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  <c r="J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  <c r="J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  <c r="J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  <c r="J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  <c r="J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  <c r="J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  <c r="J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  <c r="J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  <c r="J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  <c r="J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  <c r="J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  <c r="J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  <c r="J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  <c r="J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  <c r="J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  <c r="J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  <c r="J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  <c r="J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  <c r="J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  <c r="J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  <c r="J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  <c r="J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  <c r="J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  <c r="J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  <c r="J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  <c r="J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  <c r="J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  <c r="J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  <c r="J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  <c r="J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  <c r="J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  <c r="J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  <c r="J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  <c r="J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  <c r="J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  <c r="J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  <c r="J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  <c r="J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  <c r="J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  <c r="J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  <c r="J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  <c r="J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  <c r="J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  <c r="J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  <c r="J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  <c r="J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  <c r="J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  <c r="J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  <c r="J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  <c r="J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  <c r="J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  <c r="J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  <c r="J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  <c r="J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  <c r="J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  <c r="J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  <c r="J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  <c r="J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  <c r="J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  <c r="J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  <c r="J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  <c r="J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  <c r="J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  <c r="J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  <c r="J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  <c r="J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  <c r="J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  <c r="J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  <c r="J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  <c r="J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  <c r="J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  <c r="J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  <c r="J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  <c r="J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  <c r="J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  <c r="J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  <c r="J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  <c r="J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  <c r="J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  <c r="J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  <c r="J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  <c r="J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  <c r="J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  <c r="J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  <c r="J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  <c r="J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  <c r="J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  <c r="J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  <c r="J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  <c r="J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  <c r="J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  <c r="J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  <c r="J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  <c r="J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  <c r="J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  <c r="J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  <c r="J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  <c r="J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  <c r="J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  <c r="J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  <c r="J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  <c r="J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  <c r="J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  <c r="J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  <c r="J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  <c r="J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  <c r="J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  <c r="J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  <c r="J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  <c r="J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  <c r="J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  <c r="J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  <c r="J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  <c r="J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  <c r="J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  <c r="J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  <c r="J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  <c r="J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  <c r="J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  <c r="J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  <c r="J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  <c r="J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  <c r="J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  <c r="J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  <c r="J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  <c r="J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  <c r="J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  <c r="J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  <c r="J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  <c r="J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  <c r="J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  <c r="J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  <c r="J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  <c r="J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  <c r="J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  <c r="J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  <c r="J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  <c r="J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  <c r="J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  <c r="J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  <c r="J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  <c r="J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  <c r="J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  <c r="J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  <c r="J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  <c r="J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  <c r="J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  <c r="J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  <c r="J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  <c r="J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  <c r="J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  <c r="J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  <c r="J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  <c r="J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  <c r="J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  <c r="J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  <c r="J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  <c r="J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  <c r="J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  <c r="J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  <c r="J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  <c r="J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  <c r="J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  <c r="J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  <c r="J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  <c r="J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  <c r="J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  <c r="J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  <c r="J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  <c r="J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  <c r="J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  <c r="J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  <c r="J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  <c r="J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  <c r="J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  <c r="J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  <c r="J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  <c r="J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  <c r="J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  <c r="J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  <c r="J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  <c r="J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  <c r="J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  <c r="J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  <c r="J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  <c r="J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  <c r="J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  <c r="J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  <c r="J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  <c r="J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  <c r="J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  <c r="J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  <c r="J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  <c r="J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  <c r="J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  <c r="J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  <c r="J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  <c r="J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  <c r="J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  <c r="J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  <c r="J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  <c r="J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  <c r="J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  <c r="J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  <c r="J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  <c r="J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  <c r="J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  <c r="J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  <c r="J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  <c r="J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  <c r="J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  <c r="J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  <c r="J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  <c r="J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  <c r="J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  <c r="J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  <c r="J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  <c r="J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  <c r="J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  <c r="J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  <c r="J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  <c r="J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  <c r="J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  <c r="J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  <c r="J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  <c r="J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  <c r="J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  <c r="J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  <c r="J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  <c r="J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  <c r="J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  <c r="J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  <c r="J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  <c r="J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  <c r="J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G997" s="41" t="n"/>
      <c r="H997" s="41" t="n"/>
      <c r="I997" s="41" t="n"/>
      <c r="J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  <c r="G998" s="41" t="n"/>
      <c r="H998" s="41" t="n"/>
      <c r="I998" s="41" t="n"/>
      <c r="J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  <c r="G999" s="41" t="n"/>
      <c r="H999" s="41" t="n"/>
      <c r="I999" s="41" t="n"/>
      <c r="J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  <c r="G1000" s="41" t="n"/>
      <c r="H1000" s="41" t="n"/>
      <c r="I1000" s="41" t="n"/>
      <c r="J1000" s="41" t="n"/>
    </row>
  </sheetData>
  <autoFilter ref="A1:J28"/>
  <dataValidations count="4">
    <dataValidation sqref="C2:C13" showDropDown="1" showInputMessage="0" showErrorMessage="0" allowBlank="1" type="list">
      <formula1>"logreg,xgb"</formula1>
    </dataValidation>
    <dataValidation sqref="B2:B13" showDropDown="1" showInputMessage="0" showErrorMessage="1" allowBlank="1" type="list">
      <formula1>"audio_text,audio_only,text_only"</formula1>
    </dataValidation>
    <dataValidation sqref="A2:A13" showDropDown="1" showInputMessage="0" showErrorMessage="1" allowBlank="1" type="list">
      <formula1>"daic,cmdc"</formula1>
    </dataValidation>
    <dataValidation sqref="D2:I13" showDropDown="1" showInputMessage="0" showErrorMessage="0" allowBlank="1" type="custom">
      <formula1>AND(ISNUMBER(D2),(NOT(OR(NOT(ISERROR(DATEVALUE(D2))), AND(ISNUMBER(D2), LEFT(CELL("format", D2))="D")))))</formula1>
    </dataValidation>
  </dataValidations>
  <pageMargins left="0.7" right="0.7" top="0.75" bottom="0.75" header="0" footer="0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997"/>
  <sheetViews>
    <sheetView workbookViewId="0">
      <pane ySplit="4" topLeftCell="A5" activePane="bottomLeft" state="frozen"/>
      <selection pane="bottomLeft" activeCell="A1" sqref="A1"/>
    </sheetView>
  </sheetViews>
  <sheetFormatPr baseColWidth="8" defaultColWidth="14.43" defaultRowHeight="15" customHeight="1"/>
  <cols>
    <col width="20" customWidth="1" style="119" min="1" max="1"/>
    <col width="18" customWidth="1" style="119" min="2" max="2"/>
    <col width="16" customWidth="1" style="119" min="3" max="3"/>
    <col width="39" customWidth="1" style="119" min="4" max="4"/>
    <col width="11" customWidth="1" style="119" min="5" max="5"/>
    <col width="12" customWidth="1" style="119" min="6" max="6"/>
    <col width="11" customWidth="1" style="119" min="7" max="7"/>
    <col width="10" customWidth="1" style="119" min="8" max="8"/>
    <col width="11" customWidth="1" style="119" min="9" max="10"/>
    <col width="10" customWidth="1" style="119" min="11" max="11"/>
    <col width="19" customWidth="1" style="119" min="12" max="12"/>
    <col width="22" customWidth="1" style="119" min="13" max="13"/>
    <col width="8.710000000000001" customWidth="1" style="119" min="14" max="26"/>
  </cols>
  <sheetData>
    <row r="1" ht="30" customHeight="1" s="119">
      <c r="A1" s="8" t="inlineStr">
        <is>
          <t>Combined Depression Detection Results</t>
        </is>
      </c>
    </row>
    <row r="2" ht="34" customHeight="1" s="119">
      <c r="A2" s="151" t="inlineStr">
        <is>
          <t>Comparable in-repository results only; paper scores from different evaluation sets were removed. Green marks the highest numeric value within each dataset. Turkish hidden-state heads use BDI≥17 table-aligned outer validation.</t>
        </is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</row>
    <row r="4" ht="31.5" customHeight="1" s="119">
      <c r="A4" s="17" t="inlineStr">
        <is>
          <t>Dataset</t>
        </is>
      </c>
      <c r="B4" s="19" t="inlineStr">
        <is>
          <t>Source</t>
        </is>
      </c>
      <c r="C4" s="19" t="inlineStr">
        <is>
          <t>Modality</t>
        </is>
      </c>
      <c r="D4" s="19" t="inlineStr">
        <is>
          <t>Method / Classifier</t>
        </is>
      </c>
      <c r="E4" s="19" t="inlineStr">
        <is>
          <t>Accuracy</t>
        </is>
      </c>
      <c r="F4" s="19" t="inlineStr">
        <is>
          <t>Positive F1</t>
        </is>
      </c>
      <c r="G4" s="19" t="inlineStr">
        <is>
          <t>Precision</t>
        </is>
      </c>
      <c r="H4" s="19" t="inlineStr">
        <is>
          <t>Recall</t>
        </is>
      </c>
      <c r="I4" s="19" t="inlineStr">
        <is>
          <t>Macro F1</t>
        </is>
      </c>
      <c r="J4" s="19" t="inlineStr">
        <is>
          <t>Negative F1</t>
        </is>
      </c>
      <c r="K4" s="19" t="inlineStr">
        <is>
          <t>AUROC</t>
        </is>
      </c>
      <c r="L4" s="19" t="inlineStr">
        <is>
          <t>All-Positive Baseline F1</t>
        </is>
      </c>
      <c r="M4" s="25" t="inlineStr">
        <is>
          <t>Confusion Matrix</t>
        </is>
      </c>
    </row>
    <row r="5" ht="21" customHeight="1" s="119">
      <c r="A5" s="152" t="inlineStr">
        <is>
          <t>DAIC</t>
        </is>
      </c>
      <c r="B5" s="153" t="inlineStr">
        <is>
          <t>Our LLM</t>
        </is>
      </c>
      <c r="C5" s="152" t="inlineStr">
        <is>
          <t>Audio + Text</t>
        </is>
      </c>
      <c r="D5" s="152" t="inlineStr">
        <is>
          <t>Fine-tuned multimodal LLM</t>
        </is>
      </c>
      <c r="E5" s="154" t="n">
        <v>0.766</v>
      </c>
      <c r="F5" s="154" t="n">
        <v>0.718</v>
      </c>
      <c r="G5" s="154" t="n">
        <v>0.5600000000000001</v>
      </c>
      <c r="H5" s="155" t="n">
        <v>1</v>
      </c>
      <c r="I5" s="154" t="n">
        <v>0.759</v>
      </c>
      <c r="J5" s="154" t="n">
        <v>0.8</v>
      </c>
      <c r="K5" s="154" t="n"/>
      <c r="L5" s="156" t="n">
        <v>0.459</v>
      </c>
      <c r="M5" s="157" t="n"/>
    </row>
    <row r="6" ht="21" customHeight="1" s="119">
      <c r="A6" s="152" t="inlineStr">
        <is>
          <t>DAIC</t>
        </is>
      </c>
      <c r="B6" s="153" t="inlineStr">
        <is>
          <t>Our LLM</t>
        </is>
      </c>
      <c r="C6" s="152" t="inlineStr">
        <is>
          <t>Audio only</t>
        </is>
      </c>
      <c r="D6" s="152" t="inlineStr">
        <is>
          <t>Fine-tuned audio LLM</t>
        </is>
      </c>
      <c r="E6" s="154" t="n">
        <v>0.681</v>
      </c>
      <c r="F6" s="154" t="n">
        <v>0.595</v>
      </c>
      <c r="G6" s="154" t="n">
        <v>0.478</v>
      </c>
      <c r="H6" s="158" t="n">
        <v>0.786</v>
      </c>
      <c r="I6" s="154" t="n">
        <v>0.666</v>
      </c>
      <c r="J6" s="154" t="n">
        <v>0.737</v>
      </c>
      <c r="K6" s="154" t="n"/>
      <c r="L6" s="156" t="n">
        <v>0.459</v>
      </c>
      <c r="M6" s="157" t="n"/>
    </row>
    <row r="7" ht="21" customHeight="1" s="119">
      <c r="A7" s="152" t="inlineStr">
        <is>
          <t>DAIC</t>
        </is>
      </c>
      <c r="B7" s="153" t="inlineStr">
        <is>
          <t>Our LLM</t>
        </is>
      </c>
      <c r="C7" s="152" t="inlineStr">
        <is>
          <t>Text only</t>
        </is>
      </c>
      <c r="D7" s="152" t="inlineStr">
        <is>
          <t>Fine-tuned text LLM</t>
        </is>
      </c>
      <c r="E7" s="154" t="n">
        <v>0.83</v>
      </c>
      <c r="F7" s="154" t="n">
        <v>0.6919999999999999</v>
      </c>
      <c r="G7" s="154" t="n">
        <v>0.75</v>
      </c>
      <c r="H7" s="158" t="n">
        <v>0.643</v>
      </c>
      <c r="I7" s="154" t="n">
        <v>0.787</v>
      </c>
      <c r="J7" s="156" t="n">
        <v>0.882</v>
      </c>
      <c r="K7" s="154" t="n"/>
      <c r="L7" s="156" t="n">
        <v>0.459</v>
      </c>
      <c r="M7" s="157" t="n"/>
    </row>
    <row r="8" ht="21" customHeight="1" s="119">
      <c r="A8" s="152" t="inlineStr">
        <is>
          <t>DAIC</t>
        </is>
      </c>
      <c r="B8" s="153" t="inlineStr">
        <is>
          <t>Hidden-state head</t>
        </is>
      </c>
      <c r="C8" s="152" t="inlineStr">
        <is>
          <t>Audio + Text</t>
        </is>
      </c>
      <c r="D8" s="152" t="inlineStr">
        <is>
          <t>Logistic Regression</t>
        </is>
      </c>
      <c r="E8" s="156" t="n">
        <v>0.851064</v>
      </c>
      <c r="F8" s="156" t="n">
        <v>0.8</v>
      </c>
      <c r="G8" s="154" t="n">
        <v>0.666667</v>
      </c>
      <c r="H8" s="155" t="n">
        <v>1</v>
      </c>
      <c r="I8" s="156" t="n">
        <v>0.840678</v>
      </c>
      <c r="J8" s="154" t="n"/>
      <c r="K8" s="154" t="n">
        <v>0.900433</v>
      </c>
      <c r="L8" s="154" t="n"/>
      <c r="M8" s="157" t="inlineStr">
        <is>
          <t>[[26, 7], [0, 14]]</t>
        </is>
      </c>
    </row>
    <row r="9" ht="21" customHeight="1" s="119">
      <c r="A9" s="152" t="inlineStr">
        <is>
          <t>DAIC</t>
        </is>
      </c>
      <c r="B9" s="153" t="inlineStr">
        <is>
          <t>Hidden-state head</t>
        </is>
      </c>
      <c r="C9" s="152" t="inlineStr">
        <is>
          <t>Audio + Text</t>
        </is>
      </c>
      <c r="D9" s="152" t="inlineStr">
        <is>
          <t>XGBoost (fixed raw)</t>
        </is>
      </c>
      <c r="E9" s="154" t="n">
        <v>0.765957</v>
      </c>
      <c r="F9" s="154" t="n">
        <v>0.62069</v>
      </c>
      <c r="G9" s="154" t="n">
        <v>0.6</v>
      </c>
      <c r="H9" s="158" t="n">
        <v>0.642857</v>
      </c>
      <c r="I9" s="154" t="n">
        <v>0.725729</v>
      </c>
      <c r="J9" s="154" t="n"/>
      <c r="K9" s="154" t="n">
        <v>0.896104</v>
      </c>
      <c r="L9" s="154" t="n"/>
      <c r="M9" s="157" t="inlineStr">
        <is>
          <t>[[27, 6], [5, 9]]</t>
        </is>
      </c>
    </row>
    <row r="10" ht="21" customHeight="1" s="119">
      <c r="A10" s="152" t="inlineStr">
        <is>
          <t>DAIC</t>
        </is>
      </c>
      <c r="B10" s="153" t="inlineStr">
        <is>
          <t>Hidden-state head</t>
        </is>
      </c>
      <c r="C10" s="152" t="inlineStr">
        <is>
          <t>Audio + Text</t>
        </is>
      </c>
      <c r="D10" s="152" t="inlineStr">
        <is>
          <t>XGBoost Optuna (150t d6, seed1337)</t>
        </is>
      </c>
      <c r="E10" s="154" t="n">
        <v>0.808511</v>
      </c>
      <c r="F10" s="154" t="n">
        <v>0.666667</v>
      </c>
      <c r="G10" s="154" t="n">
        <v>0.692308</v>
      </c>
      <c r="H10" s="158" t="n">
        <v>0.642857</v>
      </c>
      <c r="I10" s="154" t="n">
        <v>0.766169</v>
      </c>
      <c r="J10" s="154" t="n"/>
      <c r="K10" s="154" t="n">
        <v>0.887446</v>
      </c>
      <c r="L10" s="154" t="n"/>
      <c r="M10" s="157" t="inlineStr">
        <is>
          <t>[[29, 4], [5, 9]]</t>
        </is>
      </c>
    </row>
    <row r="11" ht="21" customHeight="1" s="119">
      <c r="A11" s="152" t="inlineStr">
        <is>
          <t>DAIC</t>
        </is>
      </c>
      <c r="B11" s="153" t="inlineStr">
        <is>
          <t>Hidden-state head</t>
        </is>
      </c>
      <c r="C11" s="152" t="inlineStr">
        <is>
          <t>Audio only</t>
        </is>
      </c>
      <c r="D11" s="152" t="inlineStr">
        <is>
          <t>Logistic Regression</t>
        </is>
      </c>
      <c r="E11" s="154" t="n">
        <v>0.723404</v>
      </c>
      <c r="F11" s="154" t="n">
        <v>0.628571</v>
      </c>
      <c r="G11" s="154" t="n">
        <v>0.52381</v>
      </c>
      <c r="H11" s="158" t="n">
        <v>0.785714</v>
      </c>
      <c r="I11" s="154" t="n">
        <v>0.704116</v>
      </c>
      <c r="J11" s="154" t="n"/>
      <c r="K11" s="154" t="n">
        <v>0.7792210000000001</v>
      </c>
      <c r="L11" s="154" t="n"/>
      <c r="M11" s="157" t="inlineStr">
        <is>
          <t>[[23, 10], [3, 11]]</t>
        </is>
      </c>
    </row>
    <row r="12" ht="21" customHeight="1" s="119">
      <c r="A12" s="152" t="inlineStr">
        <is>
          <t>DAIC</t>
        </is>
      </c>
      <c r="B12" s="153" t="inlineStr">
        <is>
          <t>Hidden-state head</t>
        </is>
      </c>
      <c r="C12" s="152" t="inlineStr">
        <is>
          <t>Audio only</t>
        </is>
      </c>
      <c r="D12" s="152" t="inlineStr">
        <is>
          <t>XGBoost (fixed raw)</t>
        </is>
      </c>
      <c r="E12" s="154" t="n">
        <v>0.765957</v>
      </c>
      <c r="F12" s="154" t="n">
        <v>0.592593</v>
      </c>
      <c r="G12" s="154" t="n">
        <v>0.615385</v>
      </c>
      <c r="H12" s="158" t="n">
        <v>0.571429</v>
      </c>
      <c r="I12" s="154" t="n">
        <v>0.714207</v>
      </c>
      <c r="J12" s="154" t="n"/>
      <c r="K12" s="154" t="n">
        <v>0.781385</v>
      </c>
      <c r="L12" s="154" t="n"/>
      <c r="M12" s="157" t="inlineStr">
        <is>
          <t>[[28, 5], [6, 8]]</t>
        </is>
      </c>
    </row>
    <row r="13" ht="21" customHeight="1" s="119">
      <c r="A13" s="152" t="inlineStr">
        <is>
          <t>DAIC</t>
        </is>
      </c>
      <c r="B13" s="153" t="inlineStr">
        <is>
          <t>Hidden-state head</t>
        </is>
      </c>
      <c r="C13" s="152" t="inlineStr">
        <is>
          <t>Audio only</t>
        </is>
      </c>
      <c r="D13" s="152" t="inlineStr">
        <is>
          <t>XGBoost Optuna (150t d6, seed1337)</t>
        </is>
      </c>
      <c r="E13" s="154" t="n">
        <v>0.723404</v>
      </c>
      <c r="F13" s="154" t="n">
        <v>0.648649</v>
      </c>
      <c r="G13" s="154" t="n">
        <v>0.521739</v>
      </c>
      <c r="H13" s="158" t="n">
        <v>0.857143</v>
      </c>
      <c r="I13" s="154" t="n">
        <v>0.7102889999999999</v>
      </c>
      <c r="J13" s="154" t="n"/>
      <c r="K13" s="154" t="n">
        <v>0.80303</v>
      </c>
      <c r="L13" s="154" t="n"/>
      <c r="M13" s="157" t="inlineStr">
        <is>
          <t>[[22, 11], [2, 12]]</t>
        </is>
      </c>
    </row>
    <row r="14" ht="21" customHeight="1" s="119">
      <c r="A14" s="152" t="inlineStr">
        <is>
          <t>DAIC</t>
        </is>
      </c>
      <c r="B14" s="153" t="inlineStr">
        <is>
          <t>Hidden-state head</t>
        </is>
      </c>
      <c r="C14" s="152" t="inlineStr">
        <is>
          <t>Text only</t>
        </is>
      </c>
      <c r="D14" s="152" t="inlineStr">
        <is>
          <t>Logistic Regression</t>
        </is>
      </c>
      <c r="E14" s="156" t="n">
        <v>0.851064</v>
      </c>
      <c r="F14" s="154" t="n">
        <v>0.740741</v>
      </c>
      <c r="G14" s="156" t="n">
        <v>0.769231</v>
      </c>
      <c r="H14" s="158" t="n">
        <v>0.714286</v>
      </c>
      <c r="I14" s="154" t="n">
        <v>0.818132</v>
      </c>
      <c r="J14" s="154" t="n"/>
      <c r="K14" s="154" t="n">
        <v>0.926407</v>
      </c>
      <c r="L14" s="154" t="n"/>
      <c r="M14" s="157" t="inlineStr">
        <is>
          <t>[[30, 3], [4, 10]]</t>
        </is>
      </c>
    </row>
    <row r="15" ht="21" customHeight="1" s="119">
      <c r="A15" s="152" t="inlineStr">
        <is>
          <t>DAIC</t>
        </is>
      </c>
      <c r="B15" s="153" t="inlineStr">
        <is>
          <t>Hidden-state head</t>
        </is>
      </c>
      <c r="C15" s="152" t="inlineStr">
        <is>
          <t>Text only</t>
        </is>
      </c>
      <c r="D15" s="152" t="inlineStr">
        <is>
          <t>XGBoost (fixed raw)</t>
        </is>
      </c>
      <c r="E15" s="154" t="n">
        <v>0.8297870000000001</v>
      </c>
      <c r="F15" s="154" t="n">
        <v>0.692308</v>
      </c>
      <c r="G15" s="154" t="n">
        <v>0.75</v>
      </c>
      <c r="H15" s="158" t="n">
        <v>0.642857</v>
      </c>
      <c r="I15" s="154" t="n">
        <v>0.78733</v>
      </c>
      <c r="J15" s="154" t="n"/>
      <c r="K15" s="156" t="n">
        <v>0.930736</v>
      </c>
      <c r="L15" s="154" t="n"/>
      <c r="M15" s="157" t="inlineStr">
        <is>
          <t>[[30, 3], [5, 9]]</t>
        </is>
      </c>
    </row>
    <row r="16" ht="21" customHeight="1" s="119">
      <c r="A16" s="152" t="inlineStr">
        <is>
          <t>DAIC</t>
        </is>
      </c>
      <c r="B16" s="153" t="inlineStr">
        <is>
          <t>Hidden-state head</t>
        </is>
      </c>
      <c r="C16" s="152" t="inlineStr">
        <is>
          <t>Text only</t>
        </is>
      </c>
      <c r="D16" s="152" t="inlineStr">
        <is>
          <t>XGBoost Optuna (150t d6, seed1337)</t>
        </is>
      </c>
      <c r="E16" s="156" t="n">
        <v>0.851064</v>
      </c>
      <c r="F16" s="154" t="n">
        <v>0.740741</v>
      </c>
      <c r="G16" s="156" t="n">
        <v>0.769231</v>
      </c>
      <c r="H16" s="158" t="n">
        <v>0.714286</v>
      </c>
      <c r="I16" s="154" t="n">
        <v>0.818132</v>
      </c>
      <c r="J16" s="154" t="n"/>
      <c r="K16" s="154" t="n">
        <v>0.917749</v>
      </c>
      <c r="L16" s="154" t="n"/>
      <c r="M16" s="157" t="inlineStr">
        <is>
          <t>[[30, 3], [4, 10]]</t>
        </is>
      </c>
    </row>
    <row r="17" ht="21" customHeight="1" s="119">
      <c r="A17" s="159" t="inlineStr">
        <is>
          <t>CMDC</t>
        </is>
      </c>
      <c r="B17" s="160" t="inlineStr">
        <is>
          <t>Our LLM</t>
        </is>
      </c>
      <c r="C17" s="159" t="inlineStr">
        <is>
          <t>Audio + Text</t>
        </is>
      </c>
      <c r="D17" s="159" t="inlineStr">
        <is>
          <t>Fine-tuned multimodal LLM</t>
        </is>
      </c>
      <c r="E17" s="161" t="n">
        <v>0.908</v>
      </c>
      <c r="F17" s="161" t="n">
        <v>0.896</v>
      </c>
      <c r="G17" s="161" t="n">
        <v>0.871</v>
      </c>
      <c r="H17" s="161" t="n">
        <v>0.96</v>
      </c>
      <c r="I17" s="161" t="n">
        <v>0.905</v>
      </c>
      <c r="J17" s="161" t="n">
        <v>0.914</v>
      </c>
      <c r="K17" s="161" t="n"/>
      <c r="L17" s="156" t="n">
        <v>0.5</v>
      </c>
      <c r="M17" s="162" t="n"/>
    </row>
    <row r="18" ht="21" customHeight="1" s="119">
      <c r="A18" s="159" t="inlineStr">
        <is>
          <t>CMDC</t>
        </is>
      </c>
      <c r="B18" s="160" t="inlineStr">
        <is>
          <t>Our LLM</t>
        </is>
      </c>
      <c r="C18" s="159" t="inlineStr">
        <is>
          <t>Audio only</t>
        </is>
      </c>
      <c r="D18" s="159" t="inlineStr">
        <is>
          <t>Fine-tuned audio LLM</t>
        </is>
      </c>
      <c r="E18" s="161" t="n">
        <v>0.949</v>
      </c>
      <c r="F18" s="161" t="n">
        <v>0.918</v>
      </c>
      <c r="G18" s="161" t="n">
        <v>0.971</v>
      </c>
      <c r="H18" s="161" t="n">
        <v>0.88</v>
      </c>
      <c r="I18" s="161" t="n">
        <v>0.9399999999999999</v>
      </c>
      <c r="J18" s="156" t="n">
        <v>0.962</v>
      </c>
      <c r="K18" s="161" t="n"/>
      <c r="L18" s="156" t="n">
        <v>0.5</v>
      </c>
      <c r="M18" s="162" t="n"/>
    </row>
    <row r="19" ht="21" customHeight="1" s="119">
      <c r="A19" s="159" t="inlineStr">
        <is>
          <t>CMDC</t>
        </is>
      </c>
      <c r="B19" s="160" t="inlineStr">
        <is>
          <t>Our LLM</t>
        </is>
      </c>
      <c r="C19" s="159" t="inlineStr">
        <is>
          <t>Text only</t>
        </is>
      </c>
      <c r="D19" s="159" t="inlineStr">
        <is>
          <t>Fine-tuned text LLM</t>
        </is>
      </c>
      <c r="E19" s="161" t="n">
        <v>0.9360000000000001</v>
      </c>
      <c r="F19" s="161" t="n">
        <v>0.904</v>
      </c>
      <c r="G19" s="161" t="n">
        <v>0.9429999999999999</v>
      </c>
      <c r="H19" s="161" t="n">
        <v>0.887</v>
      </c>
      <c r="I19" s="161" t="n">
        <v>0.927</v>
      </c>
      <c r="J19" s="161" t="n">
        <v>0.95</v>
      </c>
      <c r="K19" s="161" t="n"/>
      <c r="L19" s="156" t="n">
        <v>0.5</v>
      </c>
      <c r="M19" s="162" t="n"/>
    </row>
    <row r="20" ht="21" customHeight="1" s="119">
      <c r="A20" s="159" t="inlineStr">
        <is>
          <t>CMDC</t>
        </is>
      </c>
      <c r="B20" s="160" t="inlineStr">
        <is>
          <t>Hidden-state head</t>
        </is>
      </c>
      <c r="C20" s="159" t="inlineStr">
        <is>
          <t>Audio + Text</t>
        </is>
      </c>
      <c r="D20" s="159" t="inlineStr">
        <is>
          <t>Logistic Regression</t>
        </is>
      </c>
      <c r="E20" s="156" t="n">
        <v>0.987179</v>
      </c>
      <c r="F20" s="156" t="n">
        <v>0.980392</v>
      </c>
      <c r="G20" s="156" t="n">
        <v>1</v>
      </c>
      <c r="H20" s="156" t="n">
        <v>0.961538</v>
      </c>
      <c r="I20" s="156" t="n">
        <v>0.985434</v>
      </c>
      <c r="J20" s="161" t="n"/>
      <c r="K20" s="161" t="n">
        <v>0.9955619999999999</v>
      </c>
      <c r="L20" s="161" t="n"/>
      <c r="M20" s="162" t="inlineStr">
        <is>
          <t>[[52, 0], [1, 25]]</t>
        </is>
      </c>
    </row>
    <row r="21" ht="21" customHeight="1" s="119">
      <c r="A21" s="159" t="inlineStr">
        <is>
          <t>CMDC</t>
        </is>
      </c>
      <c r="B21" s="160" t="inlineStr">
        <is>
          <t>Hidden-state head</t>
        </is>
      </c>
      <c r="C21" s="159" t="inlineStr">
        <is>
          <t>Audio + Text</t>
        </is>
      </c>
      <c r="D21" s="159" t="inlineStr">
        <is>
          <t>XGBoost (fixed raw)</t>
        </is>
      </c>
      <c r="E21" s="161" t="n">
        <v>0.974359</v>
      </c>
      <c r="F21" s="161" t="n">
        <v>0.96</v>
      </c>
      <c r="G21" s="156" t="n">
        <v>1</v>
      </c>
      <c r="H21" s="161" t="n">
        <v>0.923077</v>
      </c>
      <c r="I21" s="161" t="n">
        <v>0.970566</v>
      </c>
      <c r="J21" s="161" t="n"/>
      <c r="K21" s="161" t="n">
        <v>0.993343</v>
      </c>
      <c r="L21" s="161" t="n"/>
      <c r="M21" s="162" t="inlineStr">
        <is>
          <t>[[52, 0], [2, 24]]</t>
        </is>
      </c>
    </row>
    <row r="22" ht="21" customHeight="1" s="119">
      <c r="A22" s="159" t="inlineStr">
        <is>
          <t>CMDC</t>
        </is>
      </c>
      <c r="B22" s="160" t="inlineStr">
        <is>
          <t>Hidden-state head</t>
        </is>
      </c>
      <c r="C22" s="159" t="inlineStr">
        <is>
          <t>Audio + Text</t>
        </is>
      </c>
      <c r="D22" s="159" t="inlineStr">
        <is>
          <t>XGBoost Optuna (150t d6, seed1337)</t>
        </is>
      </c>
      <c r="E22" s="156" t="n">
        <v>0.987179</v>
      </c>
      <c r="F22" s="156" t="n">
        <v>0.980392</v>
      </c>
      <c r="G22" s="156" t="n">
        <v>1</v>
      </c>
      <c r="H22" s="156" t="n">
        <v>0.961538</v>
      </c>
      <c r="I22" s="156" t="n">
        <v>0.985434</v>
      </c>
      <c r="J22" s="161" t="n"/>
      <c r="K22" s="161" t="n">
        <v>0.994083</v>
      </c>
      <c r="L22" s="161" t="n"/>
      <c r="M22" s="162" t="inlineStr">
        <is>
          <t>[[52, 0], [1, 25]]</t>
        </is>
      </c>
    </row>
    <row r="23" ht="21" customHeight="1" s="119">
      <c r="A23" s="159" t="inlineStr">
        <is>
          <t>CMDC</t>
        </is>
      </c>
      <c r="B23" s="160" t="inlineStr">
        <is>
          <t>Hidden-state head</t>
        </is>
      </c>
      <c r="C23" s="159" t="inlineStr">
        <is>
          <t>Audio only</t>
        </is>
      </c>
      <c r="D23" s="159" t="inlineStr">
        <is>
          <t>Logistic Regression</t>
        </is>
      </c>
      <c r="E23" s="156" t="n">
        <v>0.987179</v>
      </c>
      <c r="F23" s="156" t="n">
        <v>0.980392</v>
      </c>
      <c r="G23" s="156" t="n">
        <v>1</v>
      </c>
      <c r="H23" s="156" t="n">
        <v>0.961538</v>
      </c>
      <c r="I23" s="156" t="n">
        <v>0.985434</v>
      </c>
      <c r="J23" s="161" t="n"/>
      <c r="K23" s="161" t="n">
        <v>0.985947</v>
      </c>
      <c r="L23" s="161" t="n"/>
      <c r="M23" s="162" t="inlineStr">
        <is>
          <t>[[52, 0], [1, 25]]</t>
        </is>
      </c>
    </row>
    <row r="24" ht="21" customHeight="1" s="119">
      <c r="A24" s="159" t="inlineStr">
        <is>
          <t>CMDC</t>
        </is>
      </c>
      <c r="B24" s="160" t="inlineStr">
        <is>
          <t>Hidden-state head</t>
        </is>
      </c>
      <c r="C24" s="159" t="inlineStr">
        <is>
          <t>Audio only</t>
        </is>
      </c>
      <c r="D24" s="159" t="inlineStr">
        <is>
          <t>XGBoost (fixed raw)</t>
        </is>
      </c>
      <c r="E24" s="156" t="n">
        <v>0.987179</v>
      </c>
      <c r="F24" s="156" t="n">
        <v>0.980392</v>
      </c>
      <c r="G24" s="156" t="n">
        <v>1</v>
      </c>
      <c r="H24" s="156" t="n">
        <v>0.961538</v>
      </c>
      <c r="I24" s="156" t="n">
        <v>0.985434</v>
      </c>
      <c r="J24" s="161" t="n"/>
      <c r="K24" s="161" t="n">
        <v>0.9852070000000001</v>
      </c>
      <c r="L24" s="161" t="n"/>
      <c r="M24" s="162" t="inlineStr">
        <is>
          <t>[[52, 0], [1, 25]]</t>
        </is>
      </c>
    </row>
    <row r="25" ht="21" customHeight="1" s="119">
      <c r="A25" s="159" t="inlineStr">
        <is>
          <t>CMDC</t>
        </is>
      </c>
      <c r="B25" s="160" t="inlineStr">
        <is>
          <t>Hidden-state head</t>
        </is>
      </c>
      <c r="C25" s="159" t="inlineStr">
        <is>
          <t>Audio only</t>
        </is>
      </c>
      <c r="D25" s="159" t="inlineStr">
        <is>
          <t>XGBoost Optuna (150t d6, seed1337)</t>
        </is>
      </c>
      <c r="E25" s="156" t="n">
        <v>0.987179</v>
      </c>
      <c r="F25" s="156" t="n">
        <v>0.980392</v>
      </c>
      <c r="G25" s="156" t="n">
        <v>1</v>
      </c>
      <c r="H25" s="156" t="n">
        <v>0.961538</v>
      </c>
      <c r="I25" s="156" t="n">
        <v>0.985434</v>
      </c>
      <c r="J25" s="161" t="n"/>
      <c r="K25" s="161" t="n">
        <v>0.988166</v>
      </c>
      <c r="L25" s="161" t="n"/>
      <c r="M25" s="162" t="inlineStr">
        <is>
          <t>[[52, 0], [1, 25]]</t>
        </is>
      </c>
    </row>
    <row r="26" ht="21" customHeight="1" s="119">
      <c r="A26" s="159" t="inlineStr">
        <is>
          <t>CMDC</t>
        </is>
      </c>
      <c r="B26" s="160" t="inlineStr">
        <is>
          <t>Hidden-state head</t>
        </is>
      </c>
      <c r="C26" s="159" t="inlineStr">
        <is>
          <t>Text only</t>
        </is>
      </c>
      <c r="D26" s="159" t="inlineStr">
        <is>
          <t>Logistic Regression</t>
        </is>
      </c>
      <c r="E26" s="156" t="n">
        <v>0.987179</v>
      </c>
      <c r="F26" s="156" t="n">
        <v>0.980392</v>
      </c>
      <c r="G26" s="156" t="n">
        <v>1</v>
      </c>
      <c r="H26" s="156" t="n">
        <v>0.961538</v>
      </c>
      <c r="I26" s="156" t="n">
        <v>0.985434</v>
      </c>
      <c r="J26" s="161" t="n"/>
      <c r="K26" s="156" t="n">
        <v>0.99926</v>
      </c>
      <c r="L26" s="161" t="n"/>
      <c r="M26" s="162" t="inlineStr">
        <is>
          <t>[[52, 0], [1, 25]]</t>
        </is>
      </c>
    </row>
    <row r="27" ht="21" customHeight="1" s="119">
      <c r="A27" s="159" t="inlineStr">
        <is>
          <t>CMDC</t>
        </is>
      </c>
      <c r="B27" s="160" t="inlineStr">
        <is>
          <t>Hidden-state head</t>
        </is>
      </c>
      <c r="C27" s="159" t="inlineStr">
        <is>
          <t>Text only</t>
        </is>
      </c>
      <c r="D27" s="159" t="inlineStr">
        <is>
          <t>XGBoost (fixed raw)</t>
        </is>
      </c>
      <c r="E27" s="161" t="n">
        <v>0.974359</v>
      </c>
      <c r="F27" s="161" t="n">
        <v>0.96</v>
      </c>
      <c r="G27" s="156" t="n">
        <v>1</v>
      </c>
      <c r="H27" s="161" t="n">
        <v>0.923077</v>
      </c>
      <c r="I27" s="161" t="n">
        <v>0.970566</v>
      </c>
      <c r="J27" s="161" t="n"/>
      <c r="K27" s="161" t="n">
        <v>0.998521</v>
      </c>
      <c r="L27" s="161" t="n"/>
      <c r="M27" s="162" t="inlineStr">
        <is>
          <t>[[52, 0], [2, 24]]</t>
        </is>
      </c>
    </row>
    <row r="28" ht="21" customHeight="1" s="119">
      <c r="A28" s="159" t="inlineStr">
        <is>
          <t>CMDC</t>
        </is>
      </c>
      <c r="B28" s="160" t="inlineStr">
        <is>
          <t>Hidden-state head</t>
        </is>
      </c>
      <c r="C28" s="159" t="inlineStr">
        <is>
          <t>Text only</t>
        </is>
      </c>
      <c r="D28" s="159" t="inlineStr">
        <is>
          <t>XGBoost Optuna (150t d6, seed1337)</t>
        </is>
      </c>
      <c r="E28" s="161" t="n">
        <v>0.974359</v>
      </c>
      <c r="F28" s="161" t="n">
        <v>0.961538</v>
      </c>
      <c r="G28" s="161" t="n">
        <v>0.961538</v>
      </c>
      <c r="H28" s="156" t="n">
        <v>0.961538</v>
      </c>
      <c r="I28" s="161" t="n">
        <v>0.971154</v>
      </c>
      <c r="J28" s="161" t="n"/>
      <c r="K28" s="161" t="n">
        <v>0.997041</v>
      </c>
      <c r="L28" s="161" t="n"/>
      <c r="M28" s="162" t="inlineStr">
        <is>
          <t>[[51, 1], [1, 25]]</t>
        </is>
      </c>
    </row>
    <row r="29" ht="21" customHeight="1" s="119">
      <c r="A29" s="163" t="inlineStr">
        <is>
          <t>Turkish (BDI≥17)</t>
        </is>
      </c>
      <c r="B29" s="164" t="inlineStr">
        <is>
          <t>Our LLM</t>
        </is>
      </c>
      <c r="C29" s="163" t="inlineStr">
        <is>
          <t>Audio + Text</t>
        </is>
      </c>
      <c r="D29" s="163" t="inlineStr">
        <is>
          <t>Fine-tuned multimodal LLM</t>
        </is>
      </c>
      <c r="E29" s="165" t="n">
        <v>0.6929999999999999</v>
      </c>
      <c r="F29" s="165" t="n">
        <v>0.8090000000000001</v>
      </c>
      <c r="G29" s="165" t="n">
        <v>0.715</v>
      </c>
      <c r="H29" s="165" t="n">
        <v>0.9399999999999999</v>
      </c>
      <c r="I29" s="165" t="n">
        <v>0.488</v>
      </c>
      <c r="J29" s="165" t="n">
        <v>0.167</v>
      </c>
      <c r="K29" s="165" t="n"/>
      <c r="L29" s="166" t="n">
        <v>0.8179999999999999</v>
      </c>
      <c r="M29" s="167" t="n"/>
    </row>
    <row r="30" ht="21" customHeight="1" s="119">
      <c r="A30" s="163" t="inlineStr">
        <is>
          <t>Turkish (BDI≥17)</t>
        </is>
      </c>
      <c r="B30" s="164" t="inlineStr">
        <is>
          <t>Our LLM</t>
        </is>
      </c>
      <c r="C30" s="163" t="inlineStr">
        <is>
          <t>Audio only</t>
        </is>
      </c>
      <c r="D30" s="163" t="inlineStr">
        <is>
          <t>Fine-tuned audio LLM</t>
        </is>
      </c>
      <c r="E30" s="166" t="n">
        <v>0.759</v>
      </c>
      <c r="F30" s="166" t="n">
        <v>0.847</v>
      </c>
      <c r="G30" s="165" t="n">
        <v>0.76</v>
      </c>
      <c r="H30" s="165" t="n">
        <v>0.965</v>
      </c>
      <c r="I30" s="165" t="n">
        <v>0.613</v>
      </c>
      <c r="J30" s="166" t="n">
        <v>0.379</v>
      </c>
      <c r="K30" s="165" t="n"/>
      <c r="L30" s="166" t="n">
        <v>0.8179999999999999</v>
      </c>
      <c r="M30" s="167" t="n"/>
    </row>
    <row r="31" ht="21" customHeight="1" s="119">
      <c r="A31" s="163" t="inlineStr">
        <is>
          <t>Turkish (BDI≥17)</t>
        </is>
      </c>
      <c r="B31" s="164" t="inlineStr">
        <is>
          <t>Our LLM</t>
        </is>
      </c>
      <c r="C31" s="163" t="inlineStr">
        <is>
          <t>Text only</t>
        </is>
      </c>
      <c r="D31" s="163" t="inlineStr">
        <is>
          <t>Fine-tuned text LLM</t>
        </is>
      </c>
      <c r="E31" s="165" t="n">
        <v>0.709</v>
      </c>
      <c r="F31" s="165" t="n">
        <v>0.821</v>
      </c>
      <c r="G31" s="165" t="n">
        <v>0.716</v>
      </c>
      <c r="H31" s="165" t="n">
        <v>0.964</v>
      </c>
      <c r="I31" s="165" t="n">
        <v>0.512</v>
      </c>
      <c r="J31" s="165" t="n">
        <v>0.203</v>
      </c>
      <c r="K31" s="165" t="n"/>
      <c r="L31" s="166" t="n">
        <v>0.8179999999999999</v>
      </c>
      <c r="M31" s="167" t="n"/>
    </row>
    <row r="32" ht="21" customHeight="1" s="119">
      <c r="A32" s="163" t="inlineStr">
        <is>
          <t>Turkish (BDI≥17)</t>
        </is>
      </c>
      <c r="B32" s="164" t="inlineStr">
        <is>
          <t>Hidden-state head</t>
        </is>
      </c>
      <c r="C32" s="163" t="inlineStr">
        <is>
          <t>Audio + Text</t>
        </is>
      </c>
      <c r="D32" s="163" t="inlineStr">
        <is>
          <t>Logistic Regression</t>
        </is>
      </c>
      <c r="E32" s="165" t="n">
        <v>0.6</v>
      </c>
      <c r="F32" s="165" t="n">
        <v>0.7241379999999999</v>
      </c>
      <c r="G32" s="165" t="n">
        <v>0.692308</v>
      </c>
      <c r="H32" s="165" t="n">
        <v>0.759036</v>
      </c>
      <c r="I32" s="165" t="n">
        <v>0.498433</v>
      </c>
      <c r="J32" s="165" t="n"/>
      <c r="K32" s="165" t="n">
        <v>0.4803</v>
      </c>
      <c r="L32" s="165" t="n"/>
      <c r="M32" s="167" t="inlineStr">
        <is>
          <t>[[9, 28], [20, 63]]</t>
        </is>
      </c>
    </row>
    <row r="33" ht="21" customHeight="1" s="119">
      <c r="A33" s="163" t="inlineStr">
        <is>
          <t>Turkish (BDI≥17)</t>
        </is>
      </c>
      <c r="B33" s="164" t="inlineStr">
        <is>
          <t>Hidden-state head</t>
        </is>
      </c>
      <c r="C33" s="163" t="inlineStr">
        <is>
          <t>Audio + Text</t>
        </is>
      </c>
      <c r="D33" s="163" t="inlineStr">
        <is>
          <t>XGBoost (fixed raw)</t>
        </is>
      </c>
      <c r="E33" s="165" t="n">
        <v>0.65</v>
      </c>
      <c r="F33" s="165" t="n">
        <v>0.783505</v>
      </c>
      <c r="G33" s="165" t="n">
        <v>0.684685</v>
      </c>
      <c r="H33" s="165" t="n">
        <v>0.915663</v>
      </c>
      <c r="I33" s="165" t="n">
        <v>0.435231</v>
      </c>
      <c r="J33" s="165" t="n"/>
      <c r="K33" s="165" t="n">
        <v>0.600456</v>
      </c>
      <c r="L33" s="165" t="n"/>
      <c r="M33" s="167" t="inlineStr">
        <is>
          <t>[[2, 35], [7, 76]]</t>
        </is>
      </c>
    </row>
    <row r="34" ht="21" customHeight="1" s="119">
      <c r="A34" s="163" t="inlineStr">
        <is>
          <t>Turkish (BDI≥17)</t>
        </is>
      </c>
      <c r="B34" s="164" t="inlineStr">
        <is>
          <t>Hidden-state head</t>
        </is>
      </c>
      <c r="C34" s="163" t="inlineStr">
        <is>
          <t>Audio + Text</t>
        </is>
      </c>
      <c r="D34" s="163" t="inlineStr">
        <is>
          <t>XGBoost Optuna (150t d6, seed1337)</t>
        </is>
      </c>
      <c r="E34" s="165" t="n">
        <v>0.616667</v>
      </c>
      <c r="F34" s="165" t="n">
        <v>0.7294119999999999</v>
      </c>
      <c r="G34" s="165" t="n">
        <v>0.7126440000000001</v>
      </c>
      <c r="H34" s="165" t="n">
        <v>0.746988</v>
      </c>
      <c r="I34" s="165" t="n">
        <v>0.536134</v>
      </c>
      <c r="J34" s="165" t="n"/>
      <c r="K34" s="165" t="n">
        <v>0.542494</v>
      </c>
      <c r="L34" s="165" t="n"/>
      <c r="M34" s="167" t="inlineStr">
        <is>
          <t>[[12, 25], [21, 62]]</t>
        </is>
      </c>
    </row>
    <row r="35" ht="15.75" customHeight="1" s="119">
      <c r="A35" s="163" t="inlineStr">
        <is>
          <t>Turkish (BDI≥17)</t>
        </is>
      </c>
      <c r="B35" s="164" t="inlineStr">
        <is>
          <t>Hidden-state head</t>
        </is>
      </c>
      <c r="C35" s="163" t="inlineStr">
        <is>
          <t>Audio only</t>
        </is>
      </c>
      <c r="D35" s="163" t="inlineStr">
        <is>
          <t>Logistic Regression</t>
        </is>
      </c>
      <c r="E35" s="165" t="n">
        <v>0.683333</v>
      </c>
      <c r="F35" s="165" t="n">
        <v>0.788889</v>
      </c>
      <c r="G35" s="165" t="n">
        <v>0.731959</v>
      </c>
      <c r="H35" s="165" t="n">
        <v>0.855422</v>
      </c>
      <c r="I35" s="165" t="n">
        <v>0.577778</v>
      </c>
      <c r="J35" s="165" t="n"/>
      <c r="K35" s="165" t="n">
        <v>0.613807</v>
      </c>
      <c r="L35" s="165" t="n"/>
      <c r="M35" s="167" t="inlineStr">
        <is>
          <t>[[11, 26], [12, 71]]</t>
        </is>
      </c>
    </row>
    <row r="36" ht="15.75" customHeight="1" s="119">
      <c r="A36" s="163" t="inlineStr">
        <is>
          <t>Turkish (BDI≥17)</t>
        </is>
      </c>
      <c r="B36" s="164" t="inlineStr">
        <is>
          <t>Hidden-state head</t>
        </is>
      </c>
      <c r="C36" s="163" t="inlineStr">
        <is>
          <t>Audio only</t>
        </is>
      </c>
      <c r="D36" s="163" t="inlineStr">
        <is>
          <t>XGBoost (fixed raw)</t>
        </is>
      </c>
      <c r="E36" s="165" t="n">
        <v>0.7166670000000001</v>
      </c>
      <c r="F36" s="165" t="n">
        <v>0.83</v>
      </c>
      <c r="G36" s="165" t="n">
        <v>0.709402</v>
      </c>
      <c r="H36" s="166" t="n">
        <v>1</v>
      </c>
      <c r="I36" s="165" t="n">
        <v>0.49</v>
      </c>
      <c r="J36" s="165" t="n"/>
      <c r="K36" s="165" t="n">
        <v>0.64181</v>
      </c>
      <c r="L36" s="165" t="n"/>
      <c r="M36" s="167" t="inlineStr">
        <is>
          <t>[[3, 34], [0, 83]]</t>
        </is>
      </c>
    </row>
    <row r="37" ht="15.75" customHeight="1" s="119">
      <c r="A37" s="163" t="inlineStr">
        <is>
          <t>Turkish (BDI≥17)</t>
        </is>
      </c>
      <c r="B37" s="164" t="inlineStr">
        <is>
          <t>Hidden-state head</t>
        </is>
      </c>
      <c r="C37" s="163" t="inlineStr">
        <is>
          <t>Audio only</t>
        </is>
      </c>
      <c r="D37" s="163" t="inlineStr">
        <is>
          <t>XGBoost Optuna (150t d8, seed1337)</t>
        </is>
      </c>
      <c r="E37" s="165" t="n">
        <v>0.683333</v>
      </c>
      <c r="F37" s="165" t="n">
        <v>0.793478</v>
      </c>
      <c r="G37" s="165" t="n">
        <v>0.722772</v>
      </c>
      <c r="H37" s="165" t="n">
        <v>0.879518</v>
      </c>
      <c r="I37" s="165" t="n">
        <v>0.557453</v>
      </c>
      <c r="J37" s="165" t="n"/>
      <c r="K37" s="165" t="n">
        <v>0.664604</v>
      </c>
      <c r="L37" s="165" t="n"/>
      <c r="M37" s="167" t="inlineStr">
        <is>
          <t>[[9, 28], [10, 73]]</t>
        </is>
      </c>
    </row>
    <row r="38" ht="15.75" customHeight="1" s="119">
      <c r="A38" s="163" t="inlineStr">
        <is>
          <t>Turkish (BDI≥17)</t>
        </is>
      </c>
      <c r="B38" s="164" t="inlineStr">
        <is>
          <t>Hidden-state head</t>
        </is>
      </c>
      <c r="C38" s="163" t="inlineStr">
        <is>
          <t>Text only</t>
        </is>
      </c>
      <c r="D38" s="163" t="inlineStr">
        <is>
          <t>Logistic Regression</t>
        </is>
      </c>
      <c r="E38" s="165" t="n">
        <v>0.583333</v>
      </c>
      <c r="F38" s="165" t="n">
        <v>0.666667</v>
      </c>
      <c r="G38" s="165" t="n">
        <v>0.746269</v>
      </c>
      <c r="H38" s="165" t="n">
        <v>0.60241</v>
      </c>
      <c r="I38" s="165" t="n">
        <v>0.555556</v>
      </c>
      <c r="J38" s="165" t="n"/>
      <c r="K38" s="165" t="n">
        <v>0.616412</v>
      </c>
      <c r="L38" s="165" t="n"/>
      <c r="M38" s="167" t="inlineStr">
        <is>
          <t>[[20, 17], [33, 50]]</t>
        </is>
      </c>
    </row>
    <row r="39" ht="15.75" customHeight="1" s="119">
      <c r="A39" s="163" t="inlineStr">
        <is>
          <t>Turkish (BDI≥17)</t>
        </is>
      </c>
      <c r="B39" s="164" t="inlineStr">
        <is>
          <t>Hidden-state head</t>
        </is>
      </c>
      <c r="C39" s="163" t="inlineStr">
        <is>
          <t>Text only</t>
        </is>
      </c>
      <c r="D39" s="163" t="inlineStr">
        <is>
          <t>XGBoost (fixed raw)</t>
        </is>
      </c>
      <c r="E39" s="165" t="n">
        <v>0.683333</v>
      </c>
      <c r="F39" s="165" t="n">
        <v>0.77381</v>
      </c>
      <c r="G39" s="165" t="n">
        <v>0.764706</v>
      </c>
      <c r="H39" s="165" t="n">
        <v>0.783133</v>
      </c>
      <c r="I39" s="166" t="n">
        <v>0.623016</v>
      </c>
      <c r="J39" s="165" t="n"/>
      <c r="K39" s="166" t="n">
        <v>0.677304</v>
      </c>
      <c r="L39" s="165" t="n"/>
      <c r="M39" s="167" t="inlineStr">
        <is>
          <t>[[17, 20], [18, 65]]</t>
        </is>
      </c>
    </row>
    <row r="40" ht="15.75" customHeight="1" s="119">
      <c r="A40" s="163" t="inlineStr">
        <is>
          <t>Turkish (BDI≥17)</t>
        </is>
      </c>
      <c r="B40" s="164" t="inlineStr">
        <is>
          <t>Hidden-state head</t>
        </is>
      </c>
      <c r="C40" s="163" t="inlineStr">
        <is>
          <t>Text only</t>
        </is>
      </c>
      <c r="D40" s="163" t="inlineStr">
        <is>
          <t>XGBoost Optuna (50t d6, seed1337)</t>
        </is>
      </c>
      <c r="E40" s="165" t="n">
        <v>0.641667</v>
      </c>
      <c r="F40" s="165" t="n">
        <v>0.726115</v>
      </c>
      <c r="G40" s="166" t="n">
        <v>0.77027</v>
      </c>
      <c r="H40" s="165" t="n">
        <v>0.686747</v>
      </c>
      <c r="I40" s="165" t="n">
        <v>0.604021</v>
      </c>
      <c r="J40" s="165" t="n"/>
      <c r="K40" s="165" t="n">
        <v>0.646695</v>
      </c>
      <c r="L40" s="165" t="n"/>
      <c r="M40" s="167" t="inlineStr">
        <is>
          <t>[[20, 17], [26, 57]]</t>
        </is>
      </c>
    </row>
    <row r="41" ht="15.75" customHeight="1" s="119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  <c r="J41" s="41" t="n"/>
      <c r="K41" s="41" t="n"/>
      <c r="L41" s="41" t="n"/>
      <c r="M41" s="41" t="n"/>
    </row>
    <row r="42" ht="15.75" customHeight="1" s="119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  <c r="J42" s="41" t="n"/>
      <c r="K42" s="41" t="n"/>
      <c r="L42" s="41" t="n"/>
      <c r="M42" s="41" t="n"/>
    </row>
    <row r="43" ht="15.75" customHeight="1" s="119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  <c r="K43" s="41" t="n"/>
      <c r="L43" s="41" t="n"/>
      <c r="M43" s="41" t="n"/>
    </row>
    <row r="44" ht="15.75" customHeight="1" s="119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  <c r="J44" s="41" t="n"/>
      <c r="K44" s="41" t="n"/>
      <c r="L44" s="41" t="n"/>
      <c r="M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  <c r="J45" s="41" t="n"/>
      <c r="K45" s="41" t="n"/>
      <c r="L45" s="41" t="n"/>
      <c r="M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  <c r="J46" s="41" t="n"/>
      <c r="K46" s="41" t="n"/>
      <c r="L46" s="41" t="n"/>
      <c r="M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  <c r="J47" s="41" t="n"/>
      <c r="K47" s="41" t="n"/>
      <c r="L47" s="41" t="n"/>
      <c r="M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  <c r="J48" s="41" t="n"/>
      <c r="K48" s="41" t="n"/>
      <c r="L48" s="41" t="n"/>
      <c r="M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  <c r="J49" s="41" t="n"/>
      <c r="K49" s="41" t="n"/>
      <c r="L49" s="41" t="n"/>
      <c r="M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  <c r="J50" s="41" t="n"/>
      <c r="K50" s="41" t="n"/>
      <c r="L50" s="41" t="n"/>
      <c r="M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  <c r="K51" s="41" t="n"/>
      <c r="L51" s="41" t="n"/>
      <c r="M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  <c r="J52" s="41" t="n"/>
      <c r="K52" s="41" t="n"/>
      <c r="L52" s="41" t="n"/>
      <c r="M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  <c r="J53" s="41" t="n"/>
      <c r="K53" s="41" t="n"/>
      <c r="L53" s="41" t="n"/>
      <c r="M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  <c r="J54" s="41" t="n"/>
      <c r="K54" s="41" t="n"/>
      <c r="L54" s="41" t="n"/>
      <c r="M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  <c r="J55" s="41" t="n"/>
      <c r="K55" s="41" t="n"/>
      <c r="L55" s="41" t="n"/>
      <c r="M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  <c r="J56" s="41" t="n"/>
      <c r="K56" s="41" t="n"/>
      <c r="L56" s="41" t="n"/>
      <c r="M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  <c r="J57" s="41" t="n"/>
      <c r="K57" s="41" t="n"/>
      <c r="L57" s="41" t="n"/>
      <c r="M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  <c r="K58" s="41" t="n"/>
      <c r="L58" s="41" t="n"/>
      <c r="M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  <c r="J59" s="41" t="n"/>
      <c r="K59" s="41" t="n"/>
      <c r="L59" s="41" t="n"/>
      <c r="M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  <c r="J60" s="41" t="n"/>
      <c r="K60" s="41" t="n"/>
      <c r="L60" s="41" t="n"/>
      <c r="M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  <c r="J61" s="41" t="n"/>
      <c r="K61" s="41" t="n"/>
      <c r="L61" s="41" t="n"/>
      <c r="M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  <c r="J62" s="41" t="n"/>
      <c r="K62" s="41" t="n"/>
      <c r="L62" s="41" t="n"/>
      <c r="M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  <c r="J63" s="41" t="n"/>
      <c r="K63" s="41" t="n"/>
      <c r="L63" s="41" t="n"/>
      <c r="M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  <c r="J64" s="41" t="n"/>
      <c r="K64" s="41" t="n"/>
      <c r="L64" s="41" t="n"/>
      <c r="M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  <c r="J65" s="41" t="n"/>
      <c r="K65" s="41" t="n"/>
      <c r="L65" s="41" t="n"/>
      <c r="M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  <c r="J66" s="41" t="n"/>
      <c r="K66" s="41" t="n"/>
      <c r="L66" s="41" t="n"/>
      <c r="M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  <c r="J67" s="41" t="n"/>
      <c r="K67" s="41" t="n"/>
      <c r="L67" s="41" t="n"/>
      <c r="M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  <c r="J68" s="41" t="n"/>
      <c r="K68" s="41" t="n"/>
      <c r="L68" s="41" t="n"/>
      <c r="M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  <c r="J69" s="41" t="n"/>
      <c r="K69" s="41" t="n"/>
      <c r="L69" s="41" t="n"/>
      <c r="M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  <c r="J70" s="41" t="n"/>
      <c r="K70" s="41" t="n"/>
      <c r="L70" s="41" t="n"/>
      <c r="M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  <c r="J71" s="41" t="n"/>
      <c r="K71" s="41" t="n"/>
      <c r="L71" s="41" t="n"/>
      <c r="M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  <c r="J72" s="41" t="n"/>
      <c r="K72" s="41" t="n"/>
      <c r="L72" s="41" t="n"/>
      <c r="M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  <c r="J73" s="41" t="n"/>
      <c r="K73" s="41" t="n"/>
      <c r="L73" s="41" t="n"/>
      <c r="M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  <c r="J74" s="41" t="n"/>
      <c r="K74" s="41" t="n"/>
      <c r="L74" s="41" t="n"/>
      <c r="M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  <c r="J75" s="41" t="n"/>
      <c r="K75" s="41" t="n"/>
      <c r="L75" s="41" t="n"/>
      <c r="M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  <c r="J76" s="41" t="n"/>
      <c r="K76" s="41" t="n"/>
      <c r="L76" s="41" t="n"/>
      <c r="M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  <c r="J77" s="41" t="n"/>
      <c r="K77" s="41" t="n"/>
      <c r="L77" s="41" t="n"/>
      <c r="M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  <c r="J78" s="41" t="n"/>
      <c r="K78" s="41" t="n"/>
      <c r="L78" s="41" t="n"/>
      <c r="M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  <c r="J79" s="41" t="n"/>
      <c r="K79" s="41" t="n"/>
      <c r="L79" s="41" t="n"/>
      <c r="M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  <c r="J80" s="41" t="n"/>
      <c r="K80" s="41" t="n"/>
      <c r="L80" s="41" t="n"/>
      <c r="M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  <c r="J81" s="41" t="n"/>
      <c r="K81" s="41" t="n"/>
      <c r="L81" s="41" t="n"/>
      <c r="M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  <c r="J82" s="41" t="n"/>
      <c r="K82" s="41" t="n"/>
      <c r="L82" s="41" t="n"/>
      <c r="M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  <c r="J83" s="41" t="n"/>
      <c r="K83" s="41" t="n"/>
      <c r="L83" s="41" t="n"/>
      <c r="M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  <c r="J84" s="41" t="n"/>
      <c r="K84" s="41" t="n"/>
      <c r="L84" s="41" t="n"/>
      <c r="M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  <c r="J85" s="41" t="n"/>
      <c r="K85" s="41" t="n"/>
      <c r="L85" s="41" t="n"/>
      <c r="M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  <c r="J86" s="41" t="n"/>
      <c r="K86" s="41" t="n"/>
      <c r="L86" s="41" t="n"/>
      <c r="M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  <c r="J87" s="41" t="n"/>
      <c r="K87" s="41" t="n"/>
      <c r="L87" s="41" t="n"/>
      <c r="M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  <c r="J88" s="41" t="n"/>
      <c r="K88" s="41" t="n"/>
      <c r="L88" s="41" t="n"/>
      <c r="M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  <c r="J89" s="41" t="n"/>
      <c r="K89" s="41" t="n"/>
      <c r="L89" s="41" t="n"/>
      <c r="M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  <c r="J90" s="41" t="n"/>
      <c r="K90" s="41" t="n"/>
      <c r="L90" s="41" t="n"/>
      <c r="M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  <c r="J91" s="41" t="n"/>
      <c r="K91" s="41" t="n"/>
      <c r="L91" s="41" t="n"/>
      <c r="M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  <c r="J92" s="41" t="n"/>
      <c r="K92" s="41" t="n"/>
      <c r="L92" s="41" t="n"/>
      <c r="M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  <c r="J93" s="41" t="n"/>
      <c r="K93" s="41" t="n"/>
      <c r="L93" s="41" t="n"/>
      <c r="M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  <c r="J94" s="41" t="n"/>
      <c r="K94" s="41" t="n"/>
      <c r="L94" s="41" t="n"/>
      <c r="M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  <c r="J95" s="41" t="n"/>
      <c r="K95" s="41" t="n"/>
      <c r="L95" s="41" t="n"/>
      <c r="M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  <c r="J96" s="41" t="n"/>
      <c r="K96" s="41" t="n"/>
      <c r="L96" s="41" t="n"/>
      <c r="M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  <c r="J97" s="41" t="n"/>
      <c r="K97" s="41" t="n"/>
      <c r="L97" s="41" t="n"/>
      <c r="M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  <c r="J98" s="41" t="n"/>
      <c r="K98" s="41" t="n"/>
      <c r="L98" s="41" t="n"/>
      <c r="M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  <c r="J99" s="41" t="n"/>
      <c r="K99" s="41" t="n"/>
      <c r="L99" s="41" t="n"/>
      <c r="M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  <c r="J100" s="41" t="n"/>
      <c r="K100" s="41" t="n"/>
      <c r="L100" s="41" t="n"/>
      <c r="M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  <c r="J101" s="41" t="n"/>
      <c r="K101" s="41" t="n"/>
      <c r="L101" s="41" t="n"/>
      <c r="M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  <c r="J102" s="41" t="n"/>
      <c r="K102" s="41" t="n"/>
      <c r="L102" s="41" t="n"/>
      <c r="M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  <c r="J103" s="41" t="n"/>
      <c r="K103" s="41" t="n"/>
      <c r="L103" s="41" t="n"/>
      <c r="M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  <c r="J104" s="41" t="n"/>
      <c r="K104" s="41" t="n"/>
      <c r="L104" s="41" t="n"/>
      <c r="M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  <c r="J105" s="41" t="n"/>
      <c r="K105" s="41" t="n"/>
      <c r="L105" s="41" t="n"/>
      <c r="M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  <c r="J106" s="41" t="n"/>
      <c r="K106" s="41" t="n"/>
      <c r="L106" s="41" t="n"/>
      <c r="M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  <c r="J107" s="41" t="n"/>
      <c r="K107" s="41" t="n"/>
      <c r="L107" s="41" t="n"/>
      <c r="M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  <c r="J108" s="41" t="n"/>
      <c r="K108" s="41" t="n"/>
      <c r="L108" s="41" t="n"/>
      <c r="M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  <c r="J109" s="41" t="n"/>
      <c r="K109" s="41" t="n"/>
      <c r="L109" s="41" t="n"/>
      <c r="M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  <c r="J110" s="41" t="n"/>
      <c r="K110" s="41" t="n"/>
      <c r="L110" s="41" t="n"/>
      <c r="M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  <c r="K111" s="41" t="n"/>
      <c r="L111" s="41" t="n"/>
      <c r="M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  <c r="J112" s="41" t="n"/>
      <c r="K112" s="41" t="n"/>
      <c r="L112" s="41" t="n"/>
      <c r="M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  <c r="J113" s="41" t="n"/>
      <c r="K113" s="41" t="n"/>
      <c r="L113" s="41" t="n"/>
      <c r="M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  <c r="J114" s="41" t="n"/>
      <c r="K114" s="41" t="n"/>
      <c r="L114" s="41" t="n"/>
      <c r="M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  <c r="J115" s="41" t="n"/>
      <c r="K115" s="41" t="n"/>
      <c r="L115" s="41" t="n"/>
      <c r="M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  <c r="J116" s="41" t="n"/>
      <c r="K116" s="41" t="n"/>
      <c r="L116" s="41" t="n"/>
      <c r="M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  <c r="J117" s="41" t="n"/>
      <c r="K117" s="41" t="n"/>
      <c r="L117" s="41" t="n"/>
      <c r="M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  <c r="J118" s="41" t="n"/>
      <c r="K118" s="41" t="n"/>
      <c r="L118" s="41" t="n"/>
      <c r="M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  <c r="J119" s="41" t="n"/>
      <c r="K119" s="41" t="n"/>
      <c r="L119" s="41" t="n"/>
      <c r="M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  <c r="J120" s="41" t="n"/>
      <c r="K120" s="41" t="n"/>
      <c r="L120" s="41" t="n"/>
      <c r="M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  <c r="J121" s="41" t="n"/>
      <c r="K121" s="41" t="n"/>
      <c r="L121" s="41" t="n"/>
      <c r="M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  <c r="J122" s="41" t="n"/>
      <c r="K122" s="41" t="n"/>
      <c r="L122" s="41" t="n"/>
      <c r="M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  <c r="J123" s="41" t="n"/>
      <c r="K123" s="41" t="n"/>
      <c r="L123" s="41" t="n"/>
      <c r="M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  <c r="J124" s="41" t="n"/>
      <c r="K124" s="41" t="n"/>
      <c r="L124" s="41" t="n"/>
      <c r="M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  <c r="J125" s="41" t="n"/>
      <c r="K125" s="41" t="n"/>
      <c r="L125" s="41" t="n"/>
      <c r="M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  <c r="J126" s="41" t="n"/>
      <c r="K126" s="41" t="n"/>
      <c r="L126" s="41" t="n"/>
      <c r="M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  <c r="J127" s="41" t="n"/>
      <c r="K127" s="41" t="n"/>
      <c r="L127" s="41" t="n"/>
      <c r="M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  <c r="J128" s="41" t="n"/>
      <c r="K128" s="41" t="n"/>
      <c r="L128" s="41" t="n"/>
      <c r="M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  <c r="J129" s="41" t="n"/>
      <c r="K129" s="41" t="n"/>
      <c r="L129" s="41" t="n"/>
      <c r="M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  <c r="J130" s="41" t="n"/>
      <c r="K130" s="41" t="n"/>
      <c r="L130" s="41" t="n"/>
      <c r="M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  <c r="J131" s="41" t="n"/>
      <c r="K131" s="41" t="n"/>
      <c r="L131" s="41" t="n"/>
      <c r="M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  <c r="J132" s="41" t="n"/>
      <c r="K132" s="41" t="n"/>
      <c r="L132" s="41" t="n"/>
      <c r="M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  <c r="J133" s="41" t="n"/>
      <c r="K133" s="41" t="n"/>
      <c r="L133" s="41" t="n"/>
      <c r="M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  <c r="J134" s="41" t="n"/>
      <c r="K134" s="41" t="n"/>
      <c r="L134" s="41" t="n"/>
      <c r="M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  <c r="J135" s="41" t="n"/>
      <c r="K135" s="41" t="n"/>
      <c r="L135" s="41" t="n"/>
      <c r="M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  <c r="J136" s="41" t="n"/>
      <c r="K136" s="41" t="n"/>
      <c r="L136" s="41" t="n"/>
      <c r="M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  <c r="J137" s="41" t="n"/>
      <c r="K137" s="41" t="n"/>
      <c r="L137" s="41" t="n"/>
      <c r="M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  <c r="J138" s="41" t="n"/>
      <c r="K138" s="41" t="n"/>
      <c r="L138" s="41" t="n"/>
      <c r="M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  <c r="J139" s="41" t="n"/>
      <c r="K139" s="41" t="n"/>
      <c r="L139" s="41" t="n"/>
      <c r="M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  <c r="J140" s="41" t="n"/>
      <c r="K140" s="41" t="n"/>
      <c r="L140" s="41" t="n"/>
      <c r="M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  <c r="J141" s="41" t="n"/>
      <c r="K141" s="41" t="n"/>
      <c r="L141" s="41" t="n"/>
      <c r="M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  <c r="J142" s="41" t="n"/>
      <c r="K142" s="41" t="n"/>
      <c r="L142" s="41" t="n"/>
      <c r="M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  <c r="J143" s="41" t="n"/>
      <c r="K143" s="41" t="n"/>
      <c r="L143" s="41" t="n"/>
      <c r="M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  <c r="J144" s="41" t="n"/>
      <c r="K144" s="41" t="n"/>
      <c r="L144" s="41" t="n"/>
      <c r="M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  <c r="J145" s="41" t="n"/>
      <c r="K145" s="41" t="n"/>
      <c r="L145" s="41" t="n"/>
      <c r="M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  <c r="J146" s="41" t="n"/>
      <c r="K146" s="41" t="n"/>
      <c r="L146" s="41" t="n"/>
      <c r="M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  <c r="J147" s="41" t="n"/>
      <c r="K147" s="41" t="n"/>
      <c r="L147" s="41" t="n"/>
      <c r="M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  <c r="J148" s="41" t="n"/>
      <c r="K148" s="41" t="n"/>
      <c r="L148" s="41" t="n"/>
      <c r="M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  <c r="J149" s="41" t="n"/>
      <c r="K149" s="41" t="n"/>
      <c r="L149" s="41" t="n"/>
      <c r="M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  <c r="J150" s="41" t="n"/>
      <c r="K150" s="41" t="n"/>
      <c r="L150" s="41" t="n"/>
      <c r="M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  <c r="J151" s="41" t="n"/>
      <c r="K151" s="41" t="n"/>
      <c r="L151" s="41" t="n"/>
      <c r="M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  <c r="J152" s="41" t="n"/>
      <c r="K152" s="41" t="n"/>
      <c r="L152" s="41" t="n"/>
      <c r="M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  <c r="J153" s="41" t="n"/>
      <c r="K153" s="41" t="n"/>
      <c r="L153" s="41" t="n"/>
      <c r="M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  <c r="J154" s="41" t="n"/>
      <c r="K154" s="41" t="n"/>
      <c r="L154" s="41" t="n"/>
      <c r="M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  <c r="J155" s="41" t="n"/>
      <c r="K155" s="41" t="n"/>
      <c r="L155" s="41" t="n"/>
      <c r="M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  <c r="J156" s="41" t="n"/>
      <c r="K156" s="41" t="n"/>
      <c r="L156" s="41" t="n"/>
      <c r="M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  <c r="J157" s="41" t="n"/>
      <c r="K157" s="41" t="n"/>
      <c r="L157" s="41" t="n"/>
      <c r="M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  <c r="J158" s="41" t="n"/>
      <c r="K158" s="41" t="n"/>
      <c r="L158" s="41" t="n"/>
      <c r="M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  <c r="J159" s="41" t="n"/>
      <c r="K159" s="41" t="n"/>
      <c r="L159" s="41" t="n"/>
      <c r="M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  <c r="J160" s="41" t="n"/>
      <c r="K160" s="41" t="n"/>
      <c r="L160" s="41" t="n"/>
      <c r="M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  <c r="J161" s="41" t="n"/>
      <c r="K161" s="41" t="n"/>
      <c r="L161" s="41" t="n"/>
      <c r="M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  <c r="J162" s="41" t="n"/>
      <c r="K162" s="41" t="n"/>
      <c r="L162" s="41" t="n"/>
      <c r="M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  <c r="J163" s="41" t="n"/>
      <c r="K163" s="41" t="n"/>
      <c r="L163" s="41" t="n"/>
      <c r="M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  <c r="J164" s="41" t="n"/>
      <c r="K164" s="41" t="n"/>
      <c r="L164" s="41" t="n"/>
      <c r="M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  <c r="J165" s="41" t="n"/>
      <c r="K165" s="41" t="n"/>
      <c r="L165" s="41" t="n"/>
      <c r="M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  <c r="J166" s="41" t="n"/>
      <c r="K166" s="41" t="n"/>
      <c r="L166" s="41" t="n"/>
      <c r="M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  <c r="J167" s="41" t="n"/>
      <c r="K167" s="41" t="n"/>
      <c r="L167" s="41" t="n"/>
      <c r="M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  <c r="J168" s="41" t="n"/>
      <c r="K168" s="41" t="n"/>
      <c r="L168" s="41" t="n"/>
      <c r="M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  <c r="J169" s="41" t="n"/>
      <c r="K169" s="41" t="n"/>
      <c r="L169" s="41" t="n"/>
      <c r="M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  <c r="J170" s="41" t="n"/>
      <c r="K170" s="41" t="n"/>
      <c r="L170" s="41" t="n"/>
      <c r="M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  <c r="J171" s="41" t="n"/>
      <c r="K171" s="41" t="n"/>
      <c r="L171" s="41" t="n"/>
      <c r="M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  <c r="J172" s="41" t="n"/>
      <c r="K172" s="41" t="n"/>
      <c r="L172" s="41" t="n"/>
      <c r="M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  <c r="J173" s="41" t="n"/>
      <c r="K173" s="41" t="n"/>
      <c r="L173" s="41" t="n"/>
      <c r="M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  <c r="J174" s="41" t="n"/>
      <c r="K174" s="41" t="n"/>
      <c r="L174" s="41" t="n"/>
      <c r="M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  <c r="J175" s="41" t="n"/>
      <c r="K175" s="41" t="n"/>
      <c r="L175" s="41" t="n"/>
      <c r="M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  <c r="J176" s="41" t="n"/>
      <c r="K176" s="41" t="n"/>
      <c r="L176" s="41" t="n"/>
      <c r="M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  <c r="J177" s="41" t="n"/>
      <c r="K177" s="41" t="n"/>
      <c r="L177" s="41" t="n"/>
      <c r="M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  <c r="J178" s="41" t="n"/>
      <c r="K178" s="41" t="n"/>
      <c r="L178" s="41" t="n"/>
      <c r="M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  <c r="J179" s="41" t="n"/>
      <c r="K179" s="41" t="n"/>
      <c r="L179" s="41" t="n"/>
      <c r="M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  <c r="J180" s="41" t="n"/>
      <c r="K180" s="41" t="n"/>
      <c r="L180" s="41" t="n"/>
      <c r="M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  <c r="J181" s="41" t="n"/>
      <c r="K181" s="41" t="n"/>
      <c r="L181" s="41" t="n"/>
      <c r="M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  <c r="J182" s="41" t="n"/>
      <c r="K182" s="41" t="n"/>
      <c r="L182" s="41" t="n"/>
      <c r="M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  <c r="J183" s="41" t="n"/>
      <c r="K183" s="41" t="n"/>
      <c r="L183" s="41" t="n"/>
      <c r="M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  <c r="J184" s="41" t="n"/>
      <c r="K184" s="41" t="n"/>
      <c r="L184" s="41" t="n"/>
      <c r="M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  <c r="J185" s="41" t="n"/>
      <c r="K185" s="41" t="n"/>
      <c r="L185" s="41" t="n"/>
      <c r="M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  <c r="J186" s="41" t="n"/>
      <c r="K186" s="41" t="n"/>
      <c r="L186" s="41" t="n"/>
      <c r="M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  <c r="J187" s="41" t="n"/>
      <c r="K187" s="41" t="n"/>
      <c r="L187" s="41" t="n"/>
      <c r="M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  <c r="J188" s="41" t="n"/>
      <c r="K188" s="41" t="n"/>
      <c r="L188" s="41" t="n"/>
      <c r="M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  <c r="J189" s="41" t="n"/>
      <c r="K189" s="41" t="n"/>
      <c r="L189" s="41" t="n"/>
      <c r="M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  <c r="J190" s="41" t="n"/>
      <c r="K190" s="41" t="n"/>
      <c r="L190" s="41" t="n"/>
      <c r="M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  <c r="J191" s="41" t="n"/>
      <c r="K191" s="41" t="n"/>
      <c r="L191" s="41" t="n"/>
      <c r="M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  <c r="J192" s="41" t="n"/>
      <c r="K192" s="41" t="n"/>
      <c r="L192" s="41" t="n"/>
      <c r="M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  <c r="J193" s="41" t="n"/>
      <c r="K193" s="41" t="n"/>
      <c r="L193" s="41" t="n"/>
      <c r="M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  <c r="J194" s="41" t="n"/>
      <c r="K194" s="41" t="n"/>
      <c r="L194" s="41" t="n"/>
      <c r="M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  <c r="J195" s="41" t="n"/>
      <c r="K195" s="41" t="n"/>
      <c r="L195" s="41" t="n"/>
      <c r="M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  <c r="J196" s="41" t="n"/>
      <c r="K196" s="41" t="n"/>
      <c r="L196" s="41" t="n"/>
      <c r="M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  <c r="J197" s="41" t="n"/>
      <c r="K197" s="41" t="n"/>
      <c r="L197" s="41" t="n"/>
      <c r="M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  <c r="J198" s="41" t="n"/>
      <c r="K198" s="41" t="n"/>
      <c r="L198" s="41" t="n"/>
      <c r="M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  <c r="J199" s="41" t="n"/>
      <c r="K199" s="41" t="n"/>
      <c r="L199" s="41" t="n"/>
      <c r="M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  <c r="J200" s="41" t="n"/>
      <c r="K200" s="41" t="n"/>
      <c r="L200" s="41" t="n"/>
      <c r="M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  <c r="J201" s="41" t="n"/>
      <c r="K201" s="41" t="n"/>
      <c r="L201" s="41" t="n"/>
      <c r="M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  <c r="J202" s="41" t="n"/>
      <c r="K202" s="41" t="n"/>
      <c r="L202" s="41" t="n"/>
      <c r="M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  <c r="J203" s="41" t="n"/>
      <c r="K203" s="41" t="n"/>
      <c r="L203" s="41" t="n"/>
      <c r="M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  <c r="J204" s="41" t="n"/>
      <c r="K204" s="41" t="n"/>
      <c r="L204" s="41" t="n"/>
      <c r="M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  <c r="J205" s="41" t="n"/>
      <c r="K205" s="41" t="n"/>
      <c r="L205" s="41" t="n"/>
      <c r="M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  <c r="J206" s="41" t="n"/>
      <c r="K206" s="41" t="n"/>
      <c r="L206" s="41" t="n"/>
      <c r="M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  <c r="J207" s="41" t="n"/>
      <c r="K207" s="41" t="n"/>
      <c r="L207" s="41" t="n"/>
      <c r="M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  <c r="J208" s="41" t="n"/>
      <c r="K208" s="41" t="n"/>
      <c r="L208" s="41" t="n"/>
      <c r="M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  <c r="J209" s="41" t="n"/>
      <c r="K209" s="41" t="n"/>
      <c r="L209" s="41" t="n"/>
      <c r="M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  <c r="J210" s="41" t="n"/>
      <c r="K210" s="41" t="n"/>
      <c r="L210" s="41" t="n"/>
      <c r="M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  <c r="J211" s="41" t="n"/>
      <c r="K211" s="41" t="n"/>
      <c r="L211" s="41" t="n"/>
      <c r="M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  <c r="J212" s="41" t="n"/>
      <c r="K212" s="41" t="n"/>
      <c r="L212" s="41" t="n"/>
      <c r="M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  <c r="J213" s="41" t="n"/>
      <c r="K213" s="41" t="n"/>
      <c r="L213" s="41" t="n"/>
      <c r="M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  <c r="J214" s="41" t="n"/>
      <c r="K214" s="41" t="n"/>
      <c r="L214" s="41" t="n"/>
      <c r="M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  <c r="J215" s="41" t="n"/>
      <c r="K215" s="41" t="n"/>
      <c r="L215" s="41" t="n"/>
      <c r="M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  <c r="J216" s="41" t="n"/>
      <c r="K216" s="41" t="n"/>
      <c r="L216" s="41" t="n"/>
      <c r="M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  <c r="J217" s="41" t="n"/>
      <c r="K217" s="41" t="n"/>
      <c r="L217" s="41" t="n"/>
      <c r="M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  <c r="J218" s="41" t="n"/>
      <c r="K218" s="41" t="n"/>
      <c r="L218" s="41" t="n"/>
      <c r="M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  <c r="J219" s="41" t="n"/>
      <c r="K219" s="41" t="n"/>
      <c r="L219" s="41" t="n"/>
      <c r="M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  <c r="J220" s="41" t="n"/>
      <c r="K220" s="41" t="n"/>
      <c r="L220" s="41" t="n"/>
      <c r="M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  <c r="J221" s="41" t="n"/>
      <c r="K221" s="41" t="n"/>
      <c r="L221" s="41" t="n"/>
      <c r="M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  <c r="J222" s="41" t="n"/>
      <c r="K222" s="41" t="n"/>
      <c r="L222" s="41" t="n"/>
      <c r="M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  <c r="J223" s="41" t="n"/>
      <c r="K223" s="41" t="n"/>
      <c r="L223" s="41" t="n"/>
      <c r="M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  <c r="J224" s="41" t="n"/>
      <c r="K224" s="41" t="n"/>
      <c r="L224" s="41" t="n"/>
      <c r="M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  <c r="J225" s="41" t="n"/>
      <c r="K225" s="41" t="n"/>
      <c r="L225" s="41" t="n"/>
      <c r="M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  <c r="J226" s="41" t="n"/>
      <c r="K226" s="41" t="n"/>
      <c r="L226" s="41" t="n"/>
      <c r="M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  <c r="J227" s="41" t="n"/>
      <c r="K227" s="41" t="n"/>
      <c r="L227" s="41" t="n"/>
      <c r="M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  <c r="J228" s="41" t="n"/>
      <c r="K228" s="41" t="n"/>
      <c r="L228" s="41" t="n"/>
      <c r="M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  <c r="J229" s="41" t="n"/>
      <c r="K229" s="41" t="n"/>
      <c r="L229" s="41" t="n"/>
      <c r="M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  <c r="J230" s="41" t="n"/>
      <c r="K230" s="41" t="n"/>
      <c r="L230" s="41" t="n"/>
      <c r="M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  <c r="J231" s="41" t="n"/>
      <c r="K231" s="41" t="n"/>
      <c r="L231" s="41" t="n"/>
      <c r="M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  <c r="J232" s="41" t="n"/>
      <c r="K232" s="41" t="n"/>
      <c r="L232" s="41" t="n"/>
      <c r="M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  <c r="J233" s="41" t="n"/>
      <c r="K233" s="41" t="n"/>
      <c r="L233" s="41" t="n"/>
      <c r="M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  <c r="J234" s="41" t="n"/>
      <c r="K234" s="41" t="n"/>
      <c r="L234" s="41" t="n"/>
      <c r="M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  <c r="J235" s="41" t="n"/>
      <c r="K235" s="41" t="n"/>
      <c r="L235" s="41" t="n"/>
      <c r="M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  <c r="J236" s="41" t="n"/>
      <c r="K236" s="41" t="n"/>
      <c r="L236" s="41" t="n"/>
      <c r="M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  <c r="J237" s="41" t="n"/>
      <c r="K237" s="41" t="n"/>
      <c r="L237" s="41" t="n"/>
      <c r="M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  <c r="J238" s="41" t="n"/>
      <c r="K238" s="41" t="n"/>
      <c r="L238" s="41" t="n"/>
      <c r="M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  <c r="J239" s="41" t="n"/>
      <c r="K239" s="41" t="n"/>
      <c r="L239" s="41" t="n"/>
      <c r="M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  <c r="J240" s="41" t="n"/>
      <c r="K240" s="41" t="n"/>
      <c r="L240" s="41" t="n"/>
      <c r="M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  <c r="J241" s="41" t="n"/>
      <c r="K241" s="41" t="n"/>
      <c r="L241" s="41" t="n"/>
      <c r="M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  <c r="J242" s="41" t="n"/>
      <c r="K242" s="41" t="n"/>
      <c r="L242" s="41" t="n"/>
      <c r="M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  <c r="J243" s="41" t="n"/>
      <c r="K243" s="41" t="n"/>
      <c r="L243" s="41" t="n"/>
      <c r="M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  <c r="J244" s="41" t="n"/>
      <c r="K244" s="41" t="n"/>
      <c r="L244" s="41" t="n"/>
      <c r="M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  <c r="J245" s="41" t="n"/>
      <c r="K245" s="41" t="n"/>
      <c r="L245" s="41" t="n"/>
      <c r="M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  <c r="J246" s="41" t="n"/>
      <c r="K246" s="41" t="n"/>
      <c r="L246" s="41" t="n"/>
      <c r="M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  <c r="J247" s="41" t="n"/>
      <c r="K247" s="41" t="n"/>
      <c r="L247" s="41" t="n"/>
      <c r="M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  <c r="J248" s="41" t="n"/>
      <c r="K248" s="41" t="n"/>
      <c r="L248" s="41" t="n"/>
      <c r="M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  <c r="J249" s="41" t="n"/>
      <c r="K249" s="41" t="n"/>
      <c r="L249" s="41" t="n"/>
      <c r="M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  <c r="J250" s="41" t="n"/>
      <c r="K250" s="41" t="n"/>
      <c r="L250" s="41" t="n"/>
      <c r="M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  <c r="J251" s="41" t="n"/>
      <c r="K251" s="41" t="n"/>
      <c r="L251" s="41" t="n"/>
      <c r="M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  <c r="J252" s="41" t="n"/>
      <c r="K252" s="41" t="n"/>
      <c r="L252" s="41" t="n"/>
      <c r="M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  <c r="J253" s="41" t="n"/>
      <c r="K253" s="41" t="n"/>
      <c r="L253" s="41" t="n"/>
      <c r="M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  <c r="J254" s="41" t="n"/>
      <c r="K254" s="41" t="n"/>
      <c r="L254" s="41" t="n"/>
      <c r="M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  <c r="J255" s="41" t="n"/>
      <c r="K255" s="41" t="n"/>
      <c r="L255" s="41" t="n"/>
      <c r="M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  <c r="J256" s="41" t="n"/>
      <c r="K256" s="41" t="n"/>
      <c r="L256" s="41" t="n"/>
      <c r="M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  <c r="J257" s="41" t="n"/>
      <c r="K257" s="41" t="n"/>
      <c r="L257" s="41" t="n"/>
      <c r="M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  <c r="J258" s="41" t="n"/>
      <c r="K258" s="41" t="n"/>
      <c r="L258" s="41" t="n"/>
      <c r="M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  <c r="J259" s="41" t="n"/>
      <c r="K259" s="41" t="n"/>
      <c r="L259" s="41" t="n"/>
      <c r="M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  <c r="J260" s="41" t="n"/>
      <c r="K260" s="41" t="n"/>
      <c r="L260" s="41" t="n"/>
      <c r="M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  <c r="J261" s="41" t="n"/>
      <c r="K261" s="41" t="n"/>
      <c r="L261" s="41" t="n"/>
      <c r="M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  <c r="J262" s="41" t="n"/>
      <c r="K262" s="41" t="n"/>
      <c r="L262" s="41" t="n"/>
      <c r="M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  <c r="J263" s="41" t="n"/>
      <c r="K263" s="41" t="n"/>
      <c r="L263" s="41" t="n"/>
      <c r="M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  <c r="J264" s="41" t="n"/>
      <c r="K264" s="41" t="n"/>
      <c r="L264" s="41" t="n"/>
      <c r="M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  <c r="J265" s="41" t="n"/>
      <c r="K265" s="41" t="n"/>
      <c r="L265" s="41" t="n"/>
      <c r="M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  <c r="J266" s="41" t="n"/>
      <c r="K266" s="41" t="n"/>
      <c r="L266" s="41" t="n"/>
      <c r="M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  <c r="J267" s="41" t="n"/>
      <c r="K267" s="41" t="n"/>
      <c r="L267" s="41" t="n"/>
      <c r="M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  <c r="J268" s="41" t="n"/>
      <c r="K268" s="41" t="n"/>
      <c r="L268" s="41" t="n"/>
      <c r="M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  <c r="J269" s="41" t="n"/>
      <c r="K269" s="41" t="n"/>
      <c r="L269" s="41" t="n"/>
      <c r="M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  <c r="J270" s="41" t="n"/>
      <c r="K270" s="41" t="n"/>
      <c r="L270" s="41" t="n"/>
      <c r="M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  <c r="J271" s="41" t="n"/>
      <c r="K271" s="41" t="n"/>
      <c r="L271" s="41" t="n"/>
      <c r="M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  <c r="J272" s="41" t="n"/>
      <c r="K272" s="41" t="n"/>
      <c r="L272" s="41" t="n"/>
      <c r="M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  <c r="J273" s="41" t="n"/>
      <c r="K273" s="41" t="n"/>
      <c r="L273" s="41" t="n"/>
      <c r="M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  <c r="J274" s="41" t="n"/>
      <c r="K274" s="41" t="n"/>
      <c r="L274" s="41" t="n"/>
      <c r="M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  <c r="J275" s="41" t="n"/>
      <c r="K275" s="41" t="n"/>
      <c r="L275" s="41" t="n"/>
      <c r="M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  <c r="J276" s="41" t="n"/>
      <c r="K276" s="41" t="n"/>
      <c r="L276" s="41" t="n"/>
      <c r="M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  <c r="J277" s="41" t="n"/>
      <c r="K277" s="41" t="n"/>
      <c r="L277" s="41" t="n"/>
      <c r="M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  <c r="J278" s="41" t="n"/>
      <c r="K278" s="41" t="n"/>
      <c r="L278" s="41" t="n"/>
      <c r="M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  <c r="J279" s="41" t="n"/>
      <c r="K279" s="41" t="n"/>
      <c r="L279" s="41" t="n"/>
      <c r="M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  <c r="J280" s="41" t="n"/>
      <c r="K280" s="41" t="n"/>
      <c r="L280" s="41" t="n"/>
      <c r="M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  <c r="J281" s="41" t="n"/>
      <c r="K281" s="41" t="n"/>
      <c r="L281" s="41" t="n"/>
      <c r="M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  <c r="J282" s="41" t="n"/>
      <c r="K282" s="41" t="n"/>
      <c r="L282" s="41" t="n"/>
      <c r="M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  <c r="J283" s="41" t="n"/>
      <c r="K283" s="41" t="n"/>
      <c r="L283" s="41" t="n"/>
      <c r="M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  <c r="J284" s="41" t="n"/>
      <c r="K284" s="41" t="n"/>
      <c r="L284" s="41" t="n"/>
      <c r="M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  <c r="J285" s="41" t="n"/>
      <c r="K285" s="41" t="n"/>
      <c r="L285" s="41" t="n"/>
      <c r="M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  <c r="J286" s="41" t="n"/>
      <c r="K286" s="41" t="n"/>
      <c r="L286" s="41" t="n"/>
      <c r="M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  <c r="J287" s="41" t="n"/>
      <c r="K287" s="41" t="n"/>
      <c r="L287" s="41" t="n"/>
      <c r="M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  <c r="J288" s="41" t="n"/>
      <c r="K288" s="41" t="n"/>
      <c r="L288" s="41" t="n"/>
      <c r="M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  <c r="J289" s="41" t="n"/>
      <c r="K289" s="41" t="n"/>
      <c r="L289" s="41" t="n"/>
      <c r="M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  <c r="J290" s="41" t="n"/>
      <c r="K290" s="41" t="n"/>
      <c r="L290" s="41" t="n"/>
      <c r="M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  <c r="J291" s="41" t="n"/>
      <c r="K291" s="41" t="n"/>
      <c r="L291" s="41" t="n"/>
      <c r="M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  <c r="J292" s="41" t="n"/>
      <c r="K292" s="41" t="n"/>
      <c r="L292" s="41" t="n"/>
      <c r="M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  <c r="J293" s="41" t="n"/>
      <c r="K293" s="41" t="n"/>
      <c r="L293" s="41" t="n"/>
      <c r="M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  <c r="J294" s="41" t="n"/>
      <c r="K294" s="41" t="n"/>
      <c r="L294" s="41" t="n"/>
      <c r="M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  <c r="J295" s="41" t="n"/>
      <c r="K295" s="41" t="n"/>
      <c r="L295" s="41" t="n"/>
      <c r="M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  <c r="J296" s="41" t="n"/>
      <c r="K296" s="41" t="n"/>
      <c r="L296" s="41" t="n"/>
      <c r="M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  <c r="J297" s="41" t="n"/>
      <c r="K297" s="41" t="n"/>
      <c r="L297" s="41" t="n"/>
      <c r="M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  <c r="J298" s="41" t="n"/>
      <c r="K298" s="41" t="n"/>
      <c r="L298" s="41" t="n"/>
      <c r="M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  <c r="J299" s="41" t="n"/>
      <c r="K299" s="41" t="n"/>
      <c r="L299" s="41" t="n"/>
      <c r="M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  <c r="J300" s="41" t="n"/>
      <c r="K300" s="41" t="n"/>
      <c r="L300" s="41" t="n"/>
      <c r="M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  <c r="J301" s="41" t="n"/>
      <c r="K301" s="41" t="n"/>
      <c r="L301" s="41" t="n"/>
      <c r="M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  <c r="J302" s="41" t="n"/>
      <c r="K302" s="41" t="n"/>
      <c r="L302" s="41" t="n"/>
      <c r="M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  <c r="J303" s="41" t="n"/>
      <c r="K303" s="41" t="n"/>
      <c r="L303" s="41" t="n"/>
      <c r="M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  <c r="J304" s="41" t="n"/>
      <c r="K304" s="41" t="n"/>
      <c r="L304" s="41" t="n"/>
      <c r="M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  <c r="J305" s="41" t="n"/>
      <c r="K305" s="41" t="n"/>
      <c r="L305" s="41" t="n"/>
      <c r="M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  <c r="J306" s="41" t="n"/>
      <c r="K306" s="41" t="n"/>
      <c r="L306" s="41" t="n"/>
      <c r="M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  <c r="J307" s="41" t="n"/>
      <c r="K307" s="41" t="n"/>
      <c r="L307" s="41" t="n"/>
      <c r="M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  <c r="J308" s="41" t="n"/>
      <c r="K308" s="41" t="n"/>
      <c r="L308" s="41" t="n"/>
      <c r="M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  <c r="J309" s="41" t="n"/>
      <c r="K309" s="41" t="n"/>
      <c r="L309" s="41" t="n"/>
      <c r="M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  <c r="J310" s="41" t="n"/>
      <c r="K310" s="41" t="n"/>
      <c r="L310" s="41" t="n"/>
      <c r="M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  <c r="J311" s="41" t="n"/>
      <c r="K311" s="41" t="n"/>
      <c r="L311" s="41" t="n"/>
      <c r="M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  <c r="J312" s="41" t="n"/>
      <c r="K312" s="41" t="n"/>
      <c r="L312" s="41" t="n"/>
      <c r="M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  <c r="J313" s="41" t="n"/>
      <c r="K313" s="41" t="n"/>
      <c r="L313" s="41" t="n"/>
      <c r="M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  <c r="J314" s="41" t="n"/>
      <c r="K314" s="41" t="n"/>
      <c r="L314" s="41" t="n"/>
      <c r="M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  <c r="J315" s="41" t="n"/>
      <c r="K315" s="41" t="n"/>
      <c r="L315" s="41" t="n"/>
      <c r="M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  <c r="J316" s="41" t="n"/>
      <c r="K316" s="41" t="n"/>
      <c r="L316" s="41" t="n"/>
      <c r="M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  <c r="J317" s="41" t="n"/>
      <c r="K317" s="41" t="n"/>
      <c r="L317" s="41" t="n"/>
      <c r="M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  <c r="J318" s="41" t="n"/>
      <c r="K318" s="41" t="n"/>
      <c r="L318" s="41" t="n"/>
      <c r="M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  <c r="J319" s="41" t="n"/>
      <c r="K319" s="41" t="n"/>
      <c r="L319" s="41" t="n"/>
      <c r="M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  <c r="J320" s="41" t="n"/>
      <c r="K320" s="41" t="n"/>
      <c r="L320" s="41" t="n"/>
      <c r="M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  <c r="J321" s="41" t="n"/>
      <c r="K321" s="41" t="n"/>
      <c r="L321" s="41" t="n"/>
      <c r="M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  <c r="J322" s="41" t="n"/>
      <c r="K322" s="41" t="n"/>
      <c r="L322" s="41" t="n"/>
      <c r="M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  <c r="J323" s="41" t="n"/>
      <c r="K323" s="41" t="n"/>
      <c r="L323" s="41" t="n"/>
      <c r="M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  <c r="J324" s="41" t="n"/>
      <c r="K324" s="41" t="n"/>
      <c r="L324" s="41" t="n"/>
      <c r="M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  <c r="J325" s="41" t="n"/>
      <c r="K325" s="41" t="n"/>
      <c r="L325" s="41" t="n"/>
      <c r="M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  <c r="J326" s="41" t="n"/>
      <c r="K326" s="41" t="n"/>
      <c r="L326" s="41" t="n"/>
      <c r="M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  <c r="J327" s="41" t="n"/>
      <c r="K327" s="41" t="n"/>
      <c r="L327" s="41" t="n"/>
      <c r="M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  <c r="J328" s="41" t="n"/>
      <c r="K328" s="41" t="n"/>
      <c r="L328" s="41" t="n"/>
      <c r="M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  <c r="J329" s="41" t="n"/>
      <c r="K329" s="41" t="n"/>
      <c r="L329" s="41" t="n"/>
      <c r="M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  <c r="J330" s="41" t="n"/>
      <c r="K330" s="41" t="n"/>
      <c r="L330" s="41" t="n"/>
      <c r="M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  <c r="J331" s="41" t="n"/>
      <c r="K331" s="41" t="n"/>
      <c r="L331" s="41" t="n"/>
      <c r="M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  <c r="J332" s="41" t="n"/>
      <c r="K332" s="41" t="n"/>
      <c r="L332" s="41" t="n"/>
      <c r="M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  <c r="J333" s="41" t="n"/>
      <c r="K333" s="41" t="n"/>
      <c r="L333" s="41" t="n"/>
      <c r="M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  <c r="J334" s="41" t="n"/>
      <c r="K334" s="41" t="n"/>
      <c r="L334" s="41" t="n"/>
      <c r="M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  <c r="J335" s="41" t="n"/>
      <c r="K335" s="41" t="n"/>
      <c r="L335" s="41" t="n"/>
      <c r="M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  <c r="J336" s="41" t="n"/>
      <c r="K336" s="41" t="n"/>
      <c r="L336" s="41" t="n"/>
      <c r="M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  <c r="J337" s="41" t="n"/>
      <c r="K337" s="41" t="n"/>
      <c r="L337" s="41" t="n"/>
      <c r="M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  <c r="J338" s="41" t="n"/>
      <c r="K338" s="41" t="n"/>
      <c r="L338" s="41" t="n"/>
      <c r="M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  <c r="J339" s="41" t="n"/>
      <c r="K339" s="41" t="n"/>
      <c r="L339" s="41" t="n"/>
      <c r="M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  <c r="J340" s="41" t="n"/>
      <c r="K340" s="41" t="n"/>
      <c r="L340" s="41" t="n"/>
      <c r="M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  <c r="J341" s="41" t="n"/>
      <c r="K341" s="41" t="n"/>
      <c r="L341" s="41" t="n"/>
      <c r="M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  <c r="J342" s="41" t="n"/>
      <c r="K342" s="41" t="n"/>
      <c r="L342" s="41" t="n"/>
      <c r="M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  <c r="J343" s="41" t="n"/>
      <c r="K343" s="41" t="n"/>
      <c r="L343" s="41" t="n"/>
      <c r="M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  <c r="J344" s="41" t="n"/>
      <c r="K344" s="41" t="n"/>
      <c r="L344" s="41" t="n"/>
      <c r="M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  <c r="J345" s="41" t="n"/>
      <c r="K345" s="41" t="n"/>
      <c r="L345" s="41" t="n"/>
      <c r="M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  <c r="J346" s="41" t="n"/>
      <c r="K346" s="41" t="n"/>
      <c r="L346" s="41" t="n"/>
      <c r="M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  <c r="J347" s="41" t="n"/>
      <c r="K347" s="41" t="n"/>
      <c r="L347" s="41" t="n"/>
      <c r="M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  <c r="J348" s="41" t="n"/>
      <c r="K348" s="41" t="n"/>
      <c r="L348" s="41" t="n"/>
      <c r="M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  <c r="J349" s="41" t="n"/>
      <c r="K349" s="41" t="n"/>
      <c r="L349" s="41" t="n"/>
      <c r="M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  <c r="J350" s="41" t="n"/>
      <c r="K350" s="41" t="n"/>
      <c r="L350" s="41" t="n"/>
      <c r="M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  <c r="J351" s="41" t="n"/>
      <c r="K351" s="41" t="n"/>
      <c r="L351" s="41" t="n"/>
      <c r="M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  <c r="J352" s="41" t="n"/>
      <c r="K352" s="41" t="n"/>
      <c r="L352" s="41" t="n"/>
      <c r="M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  <c r="J353" s="41" t="n"/>
      <c r="K353" s="41" t="n"/>
      <c r="L353" s="41" t="n"/>
      <c r="M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  <c r="J354" s="41" t="n"/>
      <c r="K354" s="41" t="n"/>
      <c r="L354" s="41" t="n"/>
      <c r="M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  <c r="J355" s="41" t="n"/>
      <c r="K355" s="41" t="n"/>
      <c r="L355" s="41" t="n"/>
      <c r="M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  <c r="J356" s="41" t="n"/>
      <c r="K356" s="41" t="n"/>
      <c r="L356" s="41" t="n"/>
      <c r="M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  <c r="J357" s="41" t="n"/>
      <c r="K357" s="41" t="n"/>
      <c r="L357" s="41" t="n"/>
      <c r="M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  <c r="J358" s="41" t="n"/>
      <c r="K358" s="41" t="n"/>
      <c r="L358" s="41" t="n"/>
      <c r="M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  <c r="J359" s="41" t="n"/>
      <c r="K359" s="41" t="n"/>
      <c r="L359" s="41" t="n"/>
      <c r="M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  <c r="J360" s="41" t="n"/>
      <c r="K360" s="41" t="n"/>
      <c r="L360" s="41" t="n"/>
      <c r="M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  <c r="J361" s="41" t="n"/>
      <c r="K361" s="41" t="n"/>
      <c r="L361" s="41" t="n"/>
      <c r="M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  <c r="J362" s="41" t="n"/>
      <c r="K362" s="41" t="n"/>
      <c r="L362" s="41" t="n"/>
      <c r="M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  <c r="J363" s="41" t="n"/>
      <c r="K363" s="41" t="n"/>
      <c r="L363" s="41" t="n"/>
      <c r="M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  <c r="J364" s="41" t="n"/>
      <c r="K364" s="41" t="n"/>
      <c r="L364" s="41" t="n"/>
      <c r="M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  <c r="J365" s="41" t="n"/>
      <c r="K365" s="41" t="n"/>
      <c r="L365" s="41" t="n"/>
      <c r="M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  <c r="J366" s="41" t="n"/>
      <c r="K366" s="41" t="n"/>
      <c r="L366" s="41" t="n"/>
      <c r="M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  <c r="J367" s="41" t="n"/>
      <c r="K367" s="41" t="n"/>
      <c r="L367" s="41" t="n"/>
      <c r="M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  <c r="J368" s="41" t="n"/>
      <c r="K368" s="41" t="n"/>
      <c r="L368" s="41" t="n"/>
      <c r="M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  <c r="J369" s="41" t="n"/>
      <c r="K369" s="41" t="n"/>
      <c r="L369" s="41" t="n"/>
      <c r="M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  <c r="J370" s="41" t="n"/>
      <c r="K370" s="41" t="n"/>
      <c r="L370" s="41" t="n"/>
      <c r="M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  <c r="J371" s="41" t="n"/>
      <c r="K371" s="41" t="n"/>
      <c r="L371" s="41" t="n"/>
      <c r="M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  <c r="J372" s="41" t="n"/>
      <c r="K372" s="41" t="n"/>
      <c r="L372" s="41" t="n"/>
      <c r="M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  <c r="J373" s="41" t="n"/>
      <c r="K373" s="41" t="n"/>
      <c r="L373" s="41" t="n"/>
      <c r="M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  <c r="J374" s="41" t="n"/>
      <c r="K374" s="41" t="n"/>
      <c r="L374" s="41" t="n"/>
      <c r="M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  <c r="J375" s="41" t="n"/>
      <c r="K375" s="41" t="n"/>
      <c r="L375" s="41" t="n"/>
      <c r="M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  <c r="J376" s="41" t="n"/>
      <c r="K376" s="41" t="n"/>
      <c r="L376" s="41" t="n"/>
      <c r="M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  <c r="J377" s="41" t="n"/>
      <c r="K377" s="41" t="n"/>
      <c r="L377" s="41" t="n"/>
      <c r="M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  <c r="J378" s="41" t="n"/>
      <c r="K378" s="41" t="n"/>
      <c r="L378" s="41" t="n"/>
      <c r="M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  <c r="J379" s="41" t="n"/>
      <c r="K379" s="41" t="n"/>
      <c r="L379" s="41" t="n"/>
      <c r="M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  <c r="J380" s="41" t="n"/>
      <c r="K380" s="41" t="n"/>
      <c r="L380" s="41" t="n"/>
      <c r="M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  <c r="J381" s="41" t="n"/>
      <c r="K381" s="41" t="n"/>
      <c r="L381" s="41" t="n"/>
      <c r="M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  <c r="J382" s="41" t="n"/>
      <c r="K382" s="41" t="n"/>
      <c r="L382" s="41" t="n"/>
      <c r="M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  <c r="J383" s="41" t="n"/>
      <c r="K383" s="41" t="n"/>
      <c r="L383" s="41" t="n"/>
      <c r="M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  <c r="J384" s="41" t="n"/>
      <c r="K384" s="41" t="n"/>
      <c r="L384" s="41" t="n"/>
      <c r="M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  <c r="J385" s="41" t="n"/>
      <c r="K385" s="41" t="n"/>
      <c r="L385" s="41" t="n"/>
      <c r="M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  <c r="J386" s="41" t="n"/>
      <c r="K386" s="41" t="n"/>
      <c r="L386" s="41" t="n"/>
      <c r="M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  <c r="J387" s="41" t="n"/>
      <c r="K387" s="41" t="n"/>
      <c r="L387" s="41" t="n"/>
      <c r="M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  <c r="J388" s="41" t="n"/>
      <c r="K388" s="41" t="n"/>
      <c r="L388" s="41" t="n"/>
      <c r="M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  <c r="J389" s="41" t="n"/>
      <c r="K389" s="41" t="n"/>
      <c r="L389" s="41" t="n"/>
      <c r="M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  <c r="J390" s="41" t="n"/>
      <c r="K390" s="41" t="n"/>
      <c r="L390" s="41" t="n"/>
      <c r="M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  <c r="J391" s="41" t="n"/>
      <c r="K391" s="41" t="n"/>
      <c r="L391" s="41" t="n"/>
      <c r="M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  <c r="J392" s="41" t="n"/>
      <c r="K392" s="41" t="n"/>
      <c r="L392" s="41" t="n"/>
      <c r="M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  <c r="J393" s="41" t="n"/>
      <c r="K393" s="41" t="n"/>
      <c r="L393" s="41" t="n"/>
      <c r="M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  <c r="J394" s="41" t="n"/>
      <c r="K394" s="41" t="n"/>
      <c r="L394" s="41" t="n"/>
      <c r="M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  <c r="J395" s="41" t="n"/>
      <c r="K395" s="41" t="n"/>
      <c r="L395" s="41" t="n"/>
      <c r="M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  <c r="J396" s="41" t="n"/>
      <c r="K396" s="41" t="n"/>
      <c r="L396" s="41" t="n"/>
      <c r="M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  <c r="J397" s="41" t="n"/>
      <c r="K397" s="41" t="n"/>
      <c r="L397" s="41" t="n"/>
      <c r="M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  <c r="J398" s="41" t="n"/>
      <c r="K398" s="41" t="n"/>
      <c r="L398" s="41" t="n"/>
      <c r="M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  <c r="J399" s="41" t="n"/>
      <c r="K399" s="41" t="n"/>
      <c r="L399" s="41" t="n"/>
      <c r="M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  <c r="J400" s="41" t="n"/>
      <c r="K400" s="41" t="n"/>
      <c r="L400" s="41" t="n"/>
      <c r="M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  <c r="J401" s="41" t="n"/>
      <c r="K401" s="41" t="n"/>
      <c r="L401" s="41" t="n"/>
      <c r="M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  <c r="J402" s="41" t="n"/>
      <c r="K402" s="41" t="n"/>
      <c r="L402" s="41" t="n"/>
      <c r="M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  <c r="J403" s="41" t="n"/>
      <c r="K403" s="41" t="n"/>
      <c r="L403" s="41" t="n"/>
      <c r="M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  <c r="J404" s="41" t="n"/>
      <c r="K404" s="41" t="n"/>
      <c r="L404" s="41" t="n"/>
      <c r="M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  <c r="J405" s="41" t="n"/>
      <c r="K405" s="41" t="n"/>
      <c r="L405" s="41" t="n"/>
      <c r="M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  <c r="J406" s="41" t="n"/>
      <c r="K406" s="41" t="n"/>
      <c r="L406" s="41" t="n"/>
      <c r="M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  <c r="J407" s="41" t="n"/>
      <c r="K407" s="41" t="n"/>
      <c r="L407" s="41" t="n"/>
      <c r="M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  <c r="J408" s="41" t="n"/>
      <c r="K408" s="41" t="n"/>
      <c r="L408" s="41" t="n"/>
      <c r="M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  <c r="J409" s="41" t="n"/>
      <c r="K409" s="41" t="n"/>
      <c r="L409" s="41" t="n"/>
      <c r="M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  <c r="J410" s="41" t="n"/>
      <c r="K410" s="41" t="n"/>
      <c r="L410" s="41" t="n"/>
      <c r="M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  <c r="J411" s="41" t="n"/>
      <c r="K411" s="41" t="n"/>
      <c r="L411" s="41" t="n"/>
      <c r="M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  <c r="J412" s="41" t="n"/>
      <c r="K412" s="41" t="n"/>
      <c r="L412" s="41" t="n"/>
      <c r="M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  <c r="J413" s="41" t="n"/>
      <c r="K413" s="41" t="n"/>
      <c r="L413" s="41" t="n"/>
      <c r="M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  <c r="J414" s="41" t="n"/>
      <c r="K414" s="41" t="n"/>
      <c r="L414" s="41" t="n"/>
      <c r="M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  <c r="J415" s="41" t="n"/>
      <c r="K415" s="41" t="n"/>
      <c r="L415" s="41" t="n"/>
      <c r="M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  <c r="J416" s="41" t="n"/>
      <c r="K416" s="41" t="n"/>
      <c r="L416" s="41" t="n"/>
      <c r="M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  <c r="J417" s="41" t="n"/>
      <c r="K417" s="41" t="n"/>
      <c r="L417" s="41" t="n"/>
      <c r="M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  <c r="J418" s="41" t="n"/>
      <c r="K418" s="41" t="n"/>
      <c r="L418" s="41" t="n"/>
      <c r="M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  <c r="J419" s="41" t="n"/>
      <c r="K419" s="41" t="n"/>
      <c r="L419" s="41" t="n"/>
      <c r="M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  <c r="J420" s="41" t="n"/>
      <c r="K420" s="41" t="n"/>
      <c r="L420" s="41" t="n"/>
      <c r="M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  <c r="J421" s="41" t="n"/>
      <c r="K421" s="41" t="n"/>
      <c r="L421" s="41" t="n"/>
      <c r="M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  <c r="J422" s="41" t="n"/>
      <c r="K422" s="41" t="n"/>
      <c r="L422" s="41" t="n"/>
      <c r="M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  <c r="J423" s="41" t="n"/>
      <c r="K423" s="41" t="n"/>
      <c r="L423" s="41" t="n"/>
      <c r="M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  <c r="J424" s="41" t="n"/>
      <c r="K424" s="41" t="n"/>
      <c r="L424" s="41" t="n"/>
      <c r="M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  <c r="J425" s="41" t="n"/>
      <c r="K425" s="41" t="n"/>
      <c r="L425" s="41" t="n"/>
      <c r="M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  <c r="J426" s="41" t="n"/>
      <c r="K426" s="41" t="n"/>
      <c r="L426" s="41" t="n"/>
      <c r="M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  <c r="J427" s="41" t="n"/>
      <c r="K427" s="41" t="n"/>
      <c r="L427" s="41" t="n"/>
      <c r="M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  <c r="J428" s="41" t="n"/>
      <c r="K428" s="41" t="n"/>
      <c r="L428" s="41" t="n"/>
      <c r="M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  <c r="J429" s="41" t="n"/>
      <c r="K429" s="41" t="n"/>
      <c r="L429" s="41" t="n"/>
      <c r="M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  <c r="J430" s="41" t="n"/>
      <c r="K430" s="41" t="n"/>
      <c r="L430" s="41" t="n"/>
      <c r="M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  <c r="J431" s="41" t="n"/>
      <c r="K431" s="41" t="n"/>
      <c r="L431" s="41" t="n"/>
      <c r="M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  <c r="J432" s="41" t="n"/>
      <c r="K432" s="41" t="n"/>
      <c r="L432" s="41" t="n"/>
      <c r="M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  <c r="J433" s="41" t="n"/>
      <c r="K433" s="41" t="n"/>
      <c r="L433" s="41" t="n"/>
      <c r="M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  <c r="J434" s="41" t="n"/>
      <c r="K434" s="41" t="n"/>
      <c r="L434" s="41" t="n"/>
      <c r="M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  <c r="J435" s="41" t="n"/>
      <c r="K435" s="41" t="n"/>
      <c r="L435" s="41" t="n"/>
      <c r="M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  <c r="J436" s="41" t="n"/>
      <c r="K436" s="41" t="n"/>
      <c r="L436" s="41" t="n"/>
      <c r="M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  <c r="J437" s="41" t="n"/>
      <c r="K437" s="41" t="n"/>
      <c r="L437" s="41" t="n"/>
      <c r="M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  <c r="J438" s="41" t="n"/>
      <c r="K438" s="41" t="n"/>
      <c r="L438" s="41" t="n"/>
      <c r="M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  <c r="J439" s="41" t="n"/>
      <c r="K439" s="41" t="n"/>
      <c r="L439" s="41" t="n"/>
      <c r="M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  <c r="J440" s="41" t="n"/>
      <c r="K440" s="41" t="n"/>
      <c r="L440" s="41" t="n"/>
      <c r="M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  <c r="J441" s="41" t="n"/>
      <c r="K441" s="41" t="n"/>
      <c r="L441" s="41" t="n"/>
      <c r="M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  <c r="J442" s="41" t="n"/>
      <c r="K442" s="41" t="n"/>
      <c r="L442" s="41" t="n"/>
      <c r="M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  <c r="J443" s="41" t="n"/>
      <c r="K443" s="41" t="n"/>
      <c r="L443" s="41" t="n"/>
      <c r="M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  <c r="J444" s="41" t="n"/>
      <c r="K444" s="41" t="n"/>
      <c r="L444" s="41" t="n"/>
      <c r="M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  <c r="J445" s="41" t="n"/>
      <c r="K445" s="41" t="n"/>
      <c r="L445" s="41" t="n"/>
      <c r="M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  <c r="J446" s="41" t="n"/>
      <c r="K446" s="41" t="n"/>
      <c r="L446" s="41" t="n"/>
      <c r="M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  <c r="J447" s="41" t="n"/>
      <c r="K447" s="41" t="n"/>
      <c r="L447" s="41" t="n"/>
      <c r="M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  <c r="J448" s="41" t="n"/>
      <c r="K448" s="41" t="n"/>
      <c r="L448" s="41" t="n"/>
      <c r="M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  <c r="J449" s="41" t="n"/>
      <c r="K449" s="41" t="n"/>
      <c r="L449" s="41" t="n"/>
      <c r="M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  <c r="J450" s="41" t="n"/>
      <c r="K450" s="41" t="n"/>
      <c r="L450" s="41" t="n"/>
      <c r="M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  <c r="J451" s="41" t="n"/>
      <c r="K451" s="41" t="n"/>
      <c r="L451" s="41" t="n"/>
      <c r="M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  <c r="J452" s="41" t="n"/>
      <c r="K452" s="41" t="n"/>
      <c r="L452" s="41" t="n"/>
      <c r="M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  <c r="J453" s="41" t="n"/>
      <c r="K453" s="41" t="n"/>
      <c r="L453" s="41" t="n"/>
      <c r="M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  <c r="J454" s="41" t="n"/>
      <c r="K454" s="41" t="n"/>
      <c r="L454" s="41" t="n"/>
      <c r="M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  <c r="J455" s="41" t="n"/>
      <c r="K455" s="41" t="n"/>
      <c r="L455" s="41" t="n"/>
      <c r="M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  <c r="J456" s="41" t="n"/>
      <c r="K456" s="41" t="n"/>
      <c r="L456" s="41" t="n"/>
      <c r="M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  <c r="J457" s="41" t="n"/>
      <c r="K457" s="41" t="n"/>
      <c r="L457" s="41" t="n"/>
      <c r="M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  <c r="J458" s="41" t="n"/>
      <c r="K458" s="41" t="n"/>
      <c r="L458" s="41" t="n"/>
      <c r="M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  <c r="J459" s="41" t="n"/>
      <c r="K459" s="41" t="n"/>
      <c r="L459" s="41" t="n"/>
      <c r="M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  <c r="J460" s="41" t="n"/>
      <c r="K460" s="41" t="n"/>
      <c r="L460" s="41" t="n"/>
      <c r="M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  <c r="J461" s="41" t="n"/>
      <c r="K461" s="41" t="n"/>
      <c r="L461" s="41" t="n"/>
      <c r="M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  <c r="J462" s="41" t="n"/>
      <c r="K462" s="41" t="n"/>
      <c r="L462" s="41" t="n"/>
      <c r="M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  <c r="J463" s="41" t="n"/>
      <c r="K463" s="41" t="n"/>
      <c r="L463" s="41" t="n"/>
      <c r="M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  <c r="J464" s="41" t="n"/>
      <c r="K464" s="41" t="n"/>
      <c r="L464" s="41" t="n"/>
      <c r="M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  <c r="J465" s="41" t="n"/>
      <c r="K465" s="41" t="n"/>
      <c r="L465" s="41" t="n"/>
      <c r="M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  <c r="J466" s="41" t="n"/>
      <c r="K466" s="41" t="n"/>
      <c r="L466" s="41" t="n"/>
      <c r="M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  <c r="J467" s="41" t="n"/>
      <c r="K467" s="41" t="n"/>
      <c r="L467" s="41" t="n"/>
      <c r="M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  <c r="J468" s="41" t="n"/>
      <c r="K468" s="41" t="n"/>
      <c r="L468" s="41" t="n"/>
      <c r="M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  <c r="J469" s="41" t="n"/>
      <c r="K469" s="41" t="n"/>
      <c r="L469" s="41" t="n"/>
      <c r="M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  <c r="J470" s="41" t="n"/>
      <c r="K470" s="41" t="n"/>
      <c r="L470" s="41" t="n"/>
      <c r="M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  <c r="J471" s="41" t="n"/>
      <c r="K471" s="41" t="n"/>
      <c r="L471" s="41" t="n"/>
      <c r="M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  <c r="J472" s="41" t="n"/>
      <c r="K472" s="41" t="n"/>
      <c r="L472" s="41" t="n"/>
      <c r="M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  <c r="J473" s="41" t="n"/>
      <c r="K473" s="41" t="n"/>
      <c r="L473" s="41" t="n"/>
      <c r="M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  <c r="J474" s="41" t="n"/>
      <c r="K474" s="41" t="n"/>
      <c r="L474" s="41" t="n"/>
      <c r="M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  <c r="J475" s="41" t="n"/>
      <c r="K475" s="41" t="n"/>
      <c r="L475" s="41" t="n"/>
      <c r="M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  <c r="J476" s="41" t="n"/>
      <c r="K476" s="41" t="n"/>
      <c r="L476" s="41" t="n"/>
      <c r="M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  <c r="J477" s="41" t="n"/>
      <c r="K477" s="41" t="n"/>
      <c r="L477" s="41" t="n"/>
      <c r="M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  <c r="J478" s="41" t="n"/>
      <c r="K478" s="41" t="n"/>
      <c r="L478" s="41" t="n"/>
      <c r="M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  <c r="J479" s="41" t="n"/>
      <c r="K479" s="41" t="n"/>
      <c r="L479" s="41" t="n"/>
      <c r="M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  <c r="J480" s="41" t="n"/>
      <c r="K480" s="41" t="n"/>
      <c r="L480" s="41" t="n"/>
      <c r="M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  <c r="J481" s="41" t="n"/>
      <c r="K481" s="41" t="n"/>
      <c r="L481" s="41" t="n"/>
      <c r="M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  <c r="J482" s="41" t="n"/>
      <c r="K482" s="41" t="n"/>
      <c r="L482" s="41" t="n"/>
      <c r="M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  <c r="J483" s="41" t="n"/>
      <c r="K483" s="41" t="n"/>
      <c r="L483" s="41" t="n"/>
      <c r="M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  <c r="J484" s="41" t="n"/>
      <c r="K484" s="41" t="n"/>
      <c r="L484" s="41" t="n"/>
      <c r="M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  <c r="J485" s="41" t="n"/>
      <c r="K485" s="41" t="n"/>
      <c r="L485" s="41" t="n"/>
      <c r="M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  <c r="J486" s="41" t="n"/>
      <c r="K486" s="41" t="n"/>
      <c r="L486" s="41" t="n"/>
      <c r="M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  <c r="J487" s="41" t="n"/>
      <c r="K487" s="41" t="n"/>
      <c r="L487" s="41" t="n"/>
      <c r="M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  <c r="J488" s="41" t="n"/>
      <c r="K488" s="41" t="n"/>
      <c r="L488" s="41" t="n"/>
      <c r="M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  <c r="J489" s="41" t="n"/>
      <c r="K489" s="41" t="n"/>
      <c r="L489" s="41" t="n"/>
      <c r="M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  <c r="J490" s="41" t="n"/>
      <c r="K490" s="41" t="n"/>
      <c r="L490" s="41" t="n"/>
      <c r="M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  <c r="J491" s="41" t="n"/>
      <c r="K491" s="41" t="n"/>
      <c r="L491" s="41" t="n"/>
      <c r="M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  <c r="J492" s="41" t="n"/>
      <c r="K492" s="41" t="n"/>
      <c r="L492" s="41" t="n"/>
      <c r="M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  <c r="J493" s="41" t="n"/>
      <c r="K493" s="41" t="n"/>
      <c r="L493" s="41" t="n"/>
      <c r="M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  <c r="J494" s="41" t="n"/>
      <c r="K494" s="41" t="n"/>
      <c r="L494" s="41" t="n"/>
      <c r="M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  <c r="J495" s="41" t="n"/>
      <c r="K495" s="41" t="n"/>
      <c r="L495" s="41" t="n"/>
      <c r="M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  <c r="J496" s="41" t="n"/>
      <c r="K496" s="41" t="n"/>
      <c r="L496" s="41" t="n"/>
      <c r="M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  <c r="J497" s="41" t="n"/>
      <c r="K497" s="41" t="n"/>
      <c r="L497" s="41" t="n"/>
      <c r="M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  <c r="J498" s="41" t="n"/>
      <c r="K498" s="41" t="n"/>
      <c r="L498" s="41" t="n"/>
      <c r="M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  <c r="J499" s="41" t="n"/>
      <c r="K499" s="41" t="n"/>
      <c r="L499" s="41" t="n"/>
      <c r="M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  <c r="J500" s="41" t="n"/>
      <c r="K500" s="41" t="n"/>
      <c r="L500" s="41" t="n"/>
      <c r="M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  <c r="J501" s="41" t="n"/>
      <c r="K501" s="41" t="n"/>
      <c r="L501" s="41" t="n"/>
      <c r="M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  <c r="J502" s="41" t="n"/>
      <c r="K502" s="41" t="n"/>
      <c r="L502" s="41" t="n"/>
      <c r="M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  <c r="J503" s="41" t="n"/>
      <c r="K503" s="41" t="n"/>
      <c r="L503" s="41" t="n"/>
      <c r="M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  <c r="J504" s="41" t="n"/>
      <c r="K504" s="41" t="n"/>
      <c r="L504" s="41" t="n"/>
      <c r="M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  <c r="J505" s="41" t="n"/>
      <c r="K505" s="41" t="n"/>
      <c r="L505" s="41" t="n"/>
      <c r="M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  <c r="J506" s="41" t="n"/>
      <c r="K506" s="41" t="n"/>
      <c r="L506" s="41" t="n"/>
      <c r="M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  <c r="J507" s="41" t="n"/>
      <c r="K507" s="41" t="n"/>
      <c r="L507" s="41" t="n"/>
      <c r="M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  <c r="J508" s="41" t="n"/>
      <c r="K508" s="41" t="n"/>
      <c r="L508" s="41" t="n"/>
      <c r="M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  <c r="J509" s="41" t="n"/>
      <c r="K509" s="41" t="n"/>
      <c r="L509" s="41" t="n"/>
      <c r="M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  <c r="J510" s="41" t="n"/>
      <c r="K510" s="41" t="n"/>
      <c r="L510" s="41" t="n"/>
      <c r="M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  <c r="J511" s="41" t="n"/>
      <c r="K511" s="41" t="n"/>
      <c r="L511" s="41" t="n"/>
      <c r="M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  <c r="J512" s="41" t="n"/>
      <c r="K512" s="41" t="n"/>
      <c r="L512" s="41" t="n"/>
      <c r="M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  <c r="J513" s="41" t="n"/>
      <c r="K513" s="41" t="n"/>
      <c r="L513" s="41" t="n"/>
      <c r="M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  <c r="J514" s="41" t="n"/>
      <c r="K514" s="41" t="n"/>
      <c r="L514" s="41" t="n"/>
      <c r="M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  <c r="J515" s="41" t="n"/>
      <c r="K515" s="41" t="n"/>
      <c r="L515" s="41" t="n"/>
      <c r="M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  <c r="J516" s="41" t="n"/>
      <c r="K516" s="41" t="n"/>
      <c r="L516" s="41" t="n"/>
      <c r="M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  <c r="J517" s="41" t="n"/>
      <c r="K517" s="41" t="n"/>
      <c r="L517" s="41" t="n"/>
      <c r="M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  <c r="J518" s="41" t="n"/>
      <c r="K518" s="41" t="n"/>
      <c r="L518" s="41" t="n"/>
      <c r="M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  <c r="J519" s="41" t="n"/>
      <c r="K519" s="41" t="n"/>
      <c r="L519" s="41" t="n"/>
      <c r="M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  <c r="J520" s="41" t="n"/>
      <c r="K520" s="41" t="n"/>
      <c r="L520" s="41" t="n"/>
      <c r="M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  <c r="J521" s="41" t="n"/>
      <c r="K521" s="41" t="n"/>
      <c r="L521" s="41" t="n"/>
      <c r="M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  <c r="J522" s="41" t="n"/>
      <c r="K522" s="41" t="n"/>
      <c r="L522" s="41" t="n"/>
      <c r="M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  <c r="J523" s="41" t="n"/>
      <c r="K523" s="41" t="n"/>
      <c r="L523" s="41" t="n"/>
      <c r="M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  <c r="J524" s="41" t="n"/>
      <c r="K524" s="41" t="n"/>
      <c r="L524" s="41" t="n"/>
      <c r="M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  <c r="J525" s="41" t="n"/>
      <c r="K525" s="41" t="n"/>
      <c r="L525" s="41" t="n"/>
      <c r="M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  <c r="J526" s="41" t="n"/>
      <c r="K526" s="41" t="n"/>
      <c r="L526" s="41" t="n"/>
      <c r="M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  <c r="J527" s="41" t="n"/>
      <c r="K527" s="41" t="n"/>
      <c r="L527" s="41" t="n"/>
      <c r="M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  <c r="J528" s="41" t="n"/>
      <c r="K528" s="41" t="n"/>
      <c r="L528" s="41" t="n"/>
      <c r="M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  <c r="J529" s="41" t="n"/>
      <c r="K529" s="41" t="n"/>
      <c r="L529" s="41" t="n"/>
      <c r="M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  <c r="J530" s="41" t="n"/>
      <c r="K530" s="41" t="n"/>
      <c r="L530" s="41" t="n"/>
      <c r="M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  <c r="J531" s="41" t="n"/>
      <c r="K531" s="41" t="n"/>
      <c r="L531" s="41" t="n"/>
      <c r="M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  <c r="J532" s="41" t="n"/>
      <c r="K532" s="41" t="n"/>
      <c r="L532" s="41" t="n"/>
      <c r="M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  <c r="J533" s="41" t="n"/>
      <c r="K533" s="41" t="n"/>
      <c r="L533" s="41" t="n"/>
      <c r="M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  <c r="J534" s="41" t="n"/>
      <c r="K534" s="41" t="n"/>
      <c r="L534" s="41" t="n"/>
      <c r="M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  <c r="J535" s="41" t="n"/>
      <c r="K535" s="41" t="n"/>
      <c r="L535" s="41" t="n"/>
      <c r="M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  <c r="J536" s="41" t="n"/>
      <c r="K536" s="41" t="n"/>
      <c r="L536" s="41" t="n"/>
      <c r="M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  <c r="J537" s="41" t="n"/>
      <c r="K537" s="41" t="n"/>
      <c r="L537" s="41" t="n"/>
      <c r="M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  <c r="J538" s="41" t="n"/>
      <c r="K538" s="41" t="n"/>
      <c r="L538" s="41" t="n"/>
      <c r="M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  <c r="J539" s="41" t="n"/>
      <c r="K539" s="41" t="n"/>
      <c r="L539" s="41" t="n"/>
      <c r="M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  <c r="J540" s="41" t="n"/>
      <c r="K540" s="41" t="n"/>
      <c r="L540" s="41" t="n"/>
      <c r="M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  <c r="J541" s="41" t="n"/>
      <c r="K541" s="41" t="n"/>
      <c r="L541" s="41" t="n"/>
      <c r="M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  <c r="J542" s="41" t="n"/>
      <c r="K542" s="41" t="n"/>
      <c r="L542" s="41" t="n"/>
      <c r="M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  <c r="J543" s="41" t="n"/>
      <c r="K543" s="41" t="n"/>
      <c r="L543" s="41" t="n"/>
      <c r="M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  <c r="J544" s="41" t="n"/>
      <c r="K544" s="41" t="n"/>
      <c r="L544" s="41" t="n"/>
      <c r="M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  <c r="J545" s="41" t="n"/>
      <c r="K545" s="41" t="n"/>
      <c r="L545" s="41" t="n"/>
      <c r="M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  <c r="J546" s="41" t="n"/>
      <c r="K546" s="41" t="n"/>
      <c r="L546" s="41" t="n"/>
      <c r="M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  <c r="J547" s="41" t="n"/>
      <c r="K547" s="41" t="n"/>
      <c r="L547" s="41" t="n"/>
      <c r="M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  <c r="J548" s="41" t="n"/>
      <c r="K548" s="41" t="n"/>
      <c r="L548" s="41" t="n"/>
      <c r="M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  <c r="J549" s="41" t="n"/>
      <c r="K549" s="41" t="n"/>
      <c r="L549" s="41" t="n"/>
      <c r="M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  <c r="J550" s="41" t="n"/>
      <c r="K550" s="41" t="n"/>
      <c r="L550" s="41" t="n"/>
      <c r="M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  <c r="J551" s="41" t="n"/>
      <c r="K551" s="41" t="n"/>
      <c r="L551" s="41" t="n"/>
      <c r="M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  <c r="J552" s="41" t="n"/>
      <c r="K552" s="41" t="n"/>
      <c r="L552" s="41" t="n"/>
      <c r="M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  <c r="J553" s="41" t="n"/>
      <c r="K553" s="41" t="n"/>
      <c r="L553" s="41" t="n"/>
      <c r="M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  <c r="J554" s="41" t="n"/>
      <c r="K554" s="41" t="n"/>
      <c r="L554" s="41" t="n"/>
      <c r="M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  <c r="J555" s="41" t="n"/>
      <c r="K555" s="41" t="n"/>
      <c r="L555" s="41" t="n"/>
      <c r="M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  <c r="J556" s="41" t="n"/>
      <c r="K556" s="41" t="n"/>
      <c r="L556" s="41" t="n"/>
      <c r="M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  <c r="J557" s="41" t="n"/>
      <c r="K557" s="41" t="n"/>
      <c r="L557" s="41" t="n"/>
      <c r="M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  <c r="J558" s="41" t="n"/>
      <c r="K558" s="41" t="n"/>
      <c r="L558" s="41" t="n"/>
      <c r="M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  <c r="J559" s="41" t="n"/>
      <c r="K559" s="41" t="n"/>
      <c r="L559" s="41" t="n"/>
      <c r="M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  <c r="J560" s="41" t="n"/>
      <c r="K560" s="41" t="n"/>
      <c r="L560" s="41" t="n"/>
      <c r="M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  <c r="J561" s="41" t="n"/>
      <c r="K561" s="41" t="n"/>
      <c r="L561" s="41" t="n"/>
      <c r="M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  <c r="J562" s="41" t="n"/>
      <c r="K562" s="41" t="n"/>
      <c r="L562" s="41" t="n"/>
      <c r="M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  <c r="J563" s="41" t="n"/>
      <c r="K563" s="41" t="n"/>
      <c r="L563" s="41" t="n"/>
      <c r="M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  <c r="J564" s="41" t="n"/>
      <c r="K564" s="41" t="n"/>
      <c r="L564" s="41" t="n"/>
      <c r="M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  <c r="J565" s="41" t="n"/>
      <c r="K565" s="41" t="n"/>
      <c r="L565" s="41" t="n"/>
      <c r="M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  <c r="J566" s="41" t="n"/>
      <c r="K566" s="41" t="n"/>
      <c r="L566" s="41" t="n"/>
      <c r="M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  <c r="J567" s="41" t="n"/>
      <c r="K567" s="41" t="n"/>
      <c r="L567" s="41" t="n"/>
      <c r="M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  <c r="J568" s="41" t="n"/>
      <c r="K568" s="41" t="n"/>
      <c r="L568" s="41" t="n"/>
      <c r="M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  <c r="J569" s="41" t="n"/>
      <c r="K569" s="41" t="n"/>
      <c r="L569" s="41" t="n"/>
      <c r="M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  <c r="J570" s="41" t="n"/>
      <c r="K570" s="41" t="n"/>
      <c r="L570" s="41" t="n"/>
      <c r="M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  <c r="J571" s="41" t="n"/>
      <c r="K571" s="41" t="n"/>
      <c r="L571" s="41" t="n"/>
      <c r="M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  <c r="J572" s="41" t="n"/>
      <c r="K572" s="41" t="n"/>
      <c r="L572" s="41" t="n"/>
      <c r="M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  <c r="J573" s="41" t="n"/>
      <c r="K573" s="41" t="n"/>
      <c r="L573" s="41" t="n"/>
      <c r="M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  <c r="J574" s="41" t="n"/>
      <c r="K574" s="41" t="n"/>
      <c r="L574" s="41" t="n"/>
      <c r="M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  <c r="J575" s="41" t="n"/>
      <c r="K575" s="41" t="n"/>
      <c r="L575" s="41" t="n"/>
      <c r="M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  <c r="J576" s="41" t="n"/>
      <c r="K576" s="41" t="n"/>
      <c r="L576" s="41" t="n"/>
      <c r="M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  <c r="J577" s="41" t="n"/>
      <c r="K577" s="41" t="n"/>
      <c r="L577" s="41" t="n"/>
      <c r="M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  <c r="J578" s="41" t="n"/>
      <c r="K578" s="41" t="n"/>
      <c r="L578" s="41" t="n"/>
      <c r="M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  <c r="J579" s="41" t="n"/>
      <c r="K579" s="41" t="n"/>
      <c r="L579" s="41" t="n"/>
      <c r="M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  <c r="J580" s="41" t="n"/>
      <c r="K580" s="41" t="n"/>
      <c r="L580" s="41" t="n"/>
      <c r="M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  <c r="J581" s="41" t="n"/>
      <c r="K581" s="41" t="n"/>
      <c r="L581" s="41" t="n"/>
      <c r="M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  <c r="J582" s="41" t="n"/>
      <c r="K582" s="41" t="n"/>
      <c r="L582" s="41" t="n"/>
      <c r="M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  <c r="J583" s="41" t="n"/>
      <c r="K583" s="41" t="n"/>
      <c r="L583" s="41" t="n"/>
      <c r="M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  <c r="J584" s="41" t="n"/>
      <c r="K584" s="41" t="n"/>
      <c r="L584" s="41" t="n"/>
      <c r="M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  <c r="J585" s="41" t="n"/>
      <c r="K585" s="41" t="n"/>
      <c r="L585" s="41" t="n"/>
      <c r="M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  <c r="J586" s="41" t="n"/>
      <c r="K586" s="41" t="n"/>
      <c r="L586" s="41" t="n"/>
      <c r="M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  <c r="J587" s="41" t="n"/>
      <c r="K587" s="41" t="n"/>
      <c r="L587" s="41" t="n"/>
      <c r="M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  <c r="J588" s="41" t="n"/>
      <c r="K588" s="41" t="n"/>
      <c r="L588" s="41" t="n"/>
      <c r="M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  <c r="J589" s="41" t="n"/>
      <c r="K589" s="41" t="n"/>
      <c r="L589" s="41" t="n"/>
      <c r="M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  <c r="J590" s="41" t="n"/>
      <c r="K590" s="41" t="n"/>
      <c r="L590" s="41" t="n"/>
      <c r="M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  <c r="J591" s="41" t="n"/>
      <c r="K591" s="41" t="n"/>
      <c r="L591" s="41" t="n"/>
      <c r="M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  <c r="J592" s="41" t="n"/>
      <c r="K592" s="41" t="n"/>
      <c r="L592" s="41" t="n"/>
      <c r="M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  <c r="J593" s="41" t="n"/>
      <c r="K593" s="41" t="n"/>
      <c r="L593" s="41" t="n"/>
      <c r="M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  <c r="J594" s="41" t="n"/>
      <c r="K594" s="41" t="n"/>
      <c r="L594" s="41" t="n"/>
      <c r="M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  <c r="J595" s="41" t="n"/>
      <c r="K595" s="41" t="n"/>
      <c r="L595" s="41" t="n"/>
      <c r="M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  <c r="J596" s="41" t="n"/>
      <c r="K596" s="41" t="n"/>
      <c r="L596" s="41" t="n"/>
      <c r="M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  <c r="J597" s="41" t="n"/>
      <c r="K597" s="41" t="n"/>
      <c r="L597" s="41" t="n"/>
      <c r="M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  <c r="J598" s="41" t="n"/>
      <c r="K598" s="41" t="n"/>
      <c r="L598" s="41" t="n"/>
      <c r="M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  <c r="J599" s="41" t="n"/>
      <c r="K599" s="41" t="n"/>
      <c r="L599" s="41" t="n"/>
      <c r="M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  <c r="J600" s="41" t="n"/>
      <c r="K600" s="41" t="n"/>
      <c r="L600" s="41" t="n"/>
      <c r="M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  <c r="J601" s="41" t="n"/>
      <c r="K601" s="41" t="n"/>
      <c r="L601" s="41" t="n"/>
      <c r="M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  <c r="J602" s="41" t="n"/>
      <c r="K602" s="41" t="n"/>
      <c r="L602" s="41" t="n"/>
      <c r="M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  <c r="J603" s="41" t="n"/>
      <c r="K603" s="41" t="n"/>
      <c r="L603" s="41" t="n"/>
      <c r="M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  <c r="J604" s="41" t="n"/>
      <c r="K604" s="41" t="n"/>
      <c r="L604" s="41" t="n"/>
      <c r="M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  <c r="J605" s="41" t="n"/>
      <c r="K605" s="41" t="n"/>
      <c r="L605" s="41" t="n"/>
      <c r="M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  <c r="J606" s="41" t="n"/>
      <c r="K606" s="41" t="n"/>
      <c r="L606" s="41" t="n"/>
      <c r="M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  <c r="J607" s="41" t="n"/>
      <c r="K607" s="41" t="n"/>
      <c r="L607" s="41" t="n"/>
      <c r="M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  <c r="J608" s="41" t="n"/>
      <c r="K608" s="41" t="n"/>
      <c r="L608" s="41" t="n"/>
      <c r="M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  <c r="J609" s="41" t="n"/>
      <c r="K609" s="41" t="n"/>
      <c r="L609" s="41" t="n"/>
      <c r="M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  <c r="J610" s="41" t="n"/>
      <c r="K610" s="41" t="n"/>
      <c r="L610" s="41" t="n"/>
      <c r="M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  <c r="J611" s="41" t="n"/>
      <c r="K611" s="41" t="n"/>
      <c r="L611" s="41" t="n"/>
      <c r="M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  <c r="J612" s="41" t="n"/>
      <c r="K612" s="41" t="n"/>
      <c r="L612" s="41" t="n"/>
      <c r="M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  <c r="J613" s="41" t="n"/>
      <c r="K613" s="41" t="n"/>
      <c r="L613" s="41" t="n"/>
      <c r="M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  <c r="J614" s="41" t="n"/>
      <c r="K614" s="41" t="n"/>
      <c r="L614" s="41" t="n"/>
      <c r="M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  <c r="J615" s="41" t="n"/>
      <c r="K615" s="41" t="n"/>
      <c r="L615" s="41" t="n"/>
      <c r="M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  <c r="J616" s="41" t="n"/>
      <c r="K616" s="41" t="n"/>
      <c r="L616" s="41" t="n"/>
      <c r="M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  <c r="J617" s="41" t="n"/>
      <c r="K617" s="41" t="n"/>
      <c r="L617" s="41" t="n"/>
      <c r="M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  <c r="J618" s="41" t="n"/>
      <c r="K618" s="41" t="n"/>
      <c r="L618" s="41" t="n"/>
      <c r="M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  <c r="J619" s="41" t="n"/>
      <c r="K619" s="41" t="n"/>
      <c r="L619" s="41" t="n"/>
      <c r="M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  <c r="J620" s="41" t="n"/>
      <c r="K620" s="41" t="n"/>
      <c r="L620" s="41" t="n"/>
      <c r="M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  <c r="J621" s="41" t="n"/>
      <c r="K621" s="41" t="n"/>
      <c r="L621" s="41" t="n"/>
      <c r="M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  <c r="J622" s="41" t="n"/>
      <c r="K622" s="41" t="n"/>
      <c r="L622" s="41" t="n"/>
      <c r="M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  <c r="J623" s="41" t="n"/>
      <c r="K623" s="41" t="n"/>
      <c r="L623" s="41" t="n"/>
      <c r="M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  <c r="J624" s="41" t="n"/>
      <c r="K624" s="41" t="n"/>
      <c r="L624" s="41" t="n"/>
      <c r="M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  <c r="J625" s="41" t="n"/>
      <c r="K625" s="41" t="n"/>
      <c r="L625" s="41" t="n"/>
      <c r="M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  <c r="J626" s="41" t="n"/>
      <c r="K626" s="41" t="n"/>
      <c r="L626" s="41" t="n"/>
      <c r="M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  <c r="J627" s="41" t="n"/>
      <c r="K627" s="41" t="n"/>
      <c r="L627" s="41" t="n"/>
      <c r="M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  <c r="J628" s="41" t="n"/>
      <c r="K628" s="41" t="n"/>
      <c r="L628" s="41" t="n"/>
      <c r="M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  <c r="J629" s="41" t="n"/>
      <c r="K629" s="41" t="n"/>
      <c r="L629" s="41" t="n"/>
      <c r="M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  <c r="J630" s="41" t="n"/>
      <c r="K630" s="41" t="n"/>
      <c r="L630" s="41" t="n"/>
      <c r="M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  <c r="J631" s="41" t="n"/>
      <c r="K631" s="41" t="n"/>
      <c r="L631" s="41" t="n"/>
      <c r="M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  <c r="J632" s="41" t="n"/>
      <c r="K632" s="41" t="n"/>
      <c r="L632" s="41" t="n"/>
      <c r="M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  <c r="J633" s="41" t="n"/>
      <c r="K633" s="41" t="n"/>
      <c r="L633" s="41" t="n"/>
      <c r="M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  <c r="J634" s="41" t="n"/>
      <c r="K634" s="41" t="n"/>
      <c r="L634" s="41" t="n"/>
      <c r="M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  <c r="J635" s="41" t="n"/>
      <c r="K635" s="41" t="n"/>
      <c r="L635" s="41" t="n"/>
      <c r="M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  <c r="J636" s="41" t="n"/>
      <c r="K636" s="41" t="n"/>
      <c r="L636" s="41" t="n"/>
      <c r="M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  <c r="J637" s="41" t="n"/>
      <c r="K637" s="41" t="n"/>
      <c r="L637" s="41" t="n"/>
      <c r="M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  <c r="J638" s="41" t="n"/>
      <c r="K638" s="41" t="n"/>
      <c r="L638" s="41" t="n"/>
      <c r="M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  <c r="J639" s="41" t="n"/>
      <c r="K639" s="41" t="n"/>
      <c r="L639" s="41" t="n"/>
      <c r="M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  <c r="J640" s="41" t="n"/>
      <c r="K640" s="41" t="n"/>
      <c r="L640" s="41" t="n"/>
      <c r="M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  <c r="J641" s="41" t="n"/>
      <c r="K641" s="41" t="n"/>
      <c r="L641" s="41" t="n"/>
      <c r="M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  <c r="J642" s="41" t="n"/>
      <c r="K642" s="41" t="n"/>
      <c r="L642" s="41" t="n"/>
      <c r="M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  <c r="J643" s="41" t="n"/>
      <c r="K643" s="41" t="n"/>
      <c r="L643" s="41" t="n"/>
      <c r="M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  <c r="J644" s="41" t="n"/>
      <c r="K644" s="41" t="n"/>
      <c r="L644" s="41" t="n"/>
      <c r="M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  <c r="J645" s="41" t="n"/>
      <c r="K645" s="41" t="n"/>
      <c r="L645" s="41" t="n"/>
      <c r="M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  <c r="J646" s="41" t="n"/>
      <c r="K646" s="41" t="n"/>
      <c r="L646" s="41" t="n"/>
      <c r="M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  <c r="J647" s="41" t="n"/>
      <c r="K647" s="41" t="n"/>
      <c r="L647" s="41" t="n"/>
      <c r="M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  <c r="J648" s="41" t="n"/>
      <c r="K648" s="41" t="n"/>
      <c r="L648" s="41" t="n"/>
      <c r="M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  <c r="J649" s="41" t="n"/>
      <c r="K649" s="41" t="n"/>
      <c r="L649" s="41" t="n"/>
      <c r="M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  <c r="J650" s="41" t="n"/>
      <c r="K650" s="41" t="n"/>
      <c r="L650" s="41" t="n"/>
      <c r="M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  <c r="J651" s="41" t="n"/>
      <c r="K651" s="41" t="n"/>
      <c r="L651" s="41" t="n"/>
      <c r="M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  <c r="J652" s="41" t="n"/>
      <c r="K652" s="41" t="n"/>
      <c r="L652" s="41" t="n"/>
      <c r="M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  <c r="J653" s="41" t="n"/>
      <c r="K653" s="41" t="n"/>
      <c r="L653" s="41" t="n"/>
      <c r="M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  <c r="J654" s="41" t="n"/>
      <c r="K654" s="41" t="n"/>
      <c r="L654" s="41" t="n"/>
      <c r="M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  <c r="J655" s="41" t="n"/>
      <c r="K655" s="41" t="n"/>
      <c r="L655" s="41" t="n"/>
      <c r="M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  <c r="J656" s="41" t="n"/>
      <c r="K656" s="41" t="n"/>
      <c r="L656" s="41" t="n"/>
      <c r="M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  <c r="J657" s="41" t="n"/>
      <c r="K657" s="41" t="n"/>
      <c r="L657" s="41" t="n"/>
      <c r="M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  <c r="J658" s="41" t="n"/>
      <c r="K658" s="41" t="n"/>
      <c r="L658" s="41" t="n"/>
      <c r="M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  <c r="J659" s="41" t="n"/>
      <c r="K659" s="41" t="n"/>
      <c r="L659" s="41" t="n"/>
      <c r="M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  <c r="J660" s="41" t="n"/>
      <c r="K660" s="41" t="n"/>
      <c r="L660" s="41" t="n"/>
      <c r="M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  <c r="J661" s="41" t="n"/>
      <c r="K661" s="41" t="n"/>
      <c r="L661" s="41" t="n"/>
      <c r="M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  <c r="J662" s="41" t="n"/>
      <c r="K662" s="41" t="n"/>
      <c r="L662" s="41" t="n"/>
      <c r="M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  <c r="J663" s="41" t="n"/>
      <c r="K663" s="41" t="n"/>
      <c r="L663" s="41" t="n"/>
      <c r="M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  <c r="J664" s="41" t="n"/>
      <c r="K664" s="41" t="n"/>
      <c r="L664" s="41" t="n"/>
      <c r="M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  <c r="J665" s="41" t="n"/>
      <c r="K665" s="41" t="n"/>
      <c r="L665" s="41" t="n"/>
      <c r="M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  <c r="J666" s="41" t="n"/>
      <c r="K666" s="41" t="n"/>
      <c r="L666" s="41" t="n"/>
      <c r="M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  <c r="J667" s="41" t="n"/>
      <c r="K667" s="41" t="n"/>
      <c r="L667" s="41" t="n"/>
      <c r="M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  <c r="J668" s="41" t="n"/>
      <c r="K668" s="41" t="n"/>
      <c r="L668" s="41" t="n"/>
      <c r="M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  <c r="J669" s="41" t="n"/>
      <c r="K669" s="41" t="n"/>
      <c r="L669" s="41" t="n"/>
      <c r="M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  <c r="J670" s="41" t="n"/>
      <c r="K670" s="41" t="n"/>
      <c r="L670" s="41" t="n"/>
      <c r="M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  <c r="J671" s="41" t="n"/>
      <c r="K671" s="41" t="n"/>
      <c r="L671" s="41" t="n"/>
      <c r="M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  <c r="J672" s="41" t="n"/>
      <c r="K672" s="41" t="n"/>
      <c r="L672" s="41" t="n"/>
      <c r="M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  <c r="J673" s="41" t="n"/>
      <c r="K673" s="41" t="n"/>
      <c r="L673" s="41" t="n"/>
      <c r="M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  <c r="J674" s="41" t="n"/>
      <c r="K674" s="41" t="n"/>
      <c r="L674" s="41" t="n"/>
      <c r="M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  <c r="J675" s="41" t="n"/>
      <c r="K675" s="41" t="n"/>
      <c r="L675" s="41" t="n"/>
      <c r="M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  <c r="J676" s="41" t="n"/>
      <c r="K676" s="41" t="n"/>
      <c r="L676" s="41" t="n"/>
      <c r="M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  <c r="J677" s="41" t="n"/>
      <c r="K677" s="41" t="n"/>
      <c r="L677" s="41" t="n"/>
      <c r="M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  <c r="J678" s="41" t="n"/>
      <c r="K678" s="41" t="n"/>
      <c r="L678" s="41" t="n"/>
      <c r="M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  <c r="J679" s="41" t="n"/>
      <c r="K679" s="41" t="n"/>
      <c r="L679" s="41" t="n"/>
      <c r="M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  <c r="J680" s="41" t="n"/>
      <c r="K680" s="41" t="n"/>
      <c r="L680" s="41" t="n"/>
      <c r="M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  <c r="J681" s="41" t="n"/>
      <c r="K681" s="41" t="n"/>
      <c r="L681" s="41" t="n"/>
      <c r="M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  <c r="J682" s="41" t="n"/>
      <c r="K682" s="41" t="n"/>
      <c r="L682" s="41" t="n"/>
      <c r="M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  <c r="J683" s="41" t="n"/>
      <c r="K683" s="41" t="n"/>
      <c r="L683" s="41" t="n"/>
      <c r="M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  <c r="J684" s="41" t="n"/>
      <c r="K684" s="41" t="n"/>
      <c r="L684" s="41" t="n"/>
      <c r="M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  <c r="J685" s="41" t="n"/>
      <c r="K685" s="41" t="n"/>
      <c r="L685" s="41" t="n"/>
      <c r="M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  <c r="J686" s="41" t="n"/>
      <c r="K686" s="41" t="n"/>
      <c r="L686" s="41" t="n"/>
      <c r="M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  <c r="J687" s="41" t="n"/>
      <c r="K687" s="41" t="n"/>
      <c r="L687" s="41" t="n"/>
      <c r="M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  <c r="J688" s="41" t="n"/>
      <c r="K688" s="41" t="n"/>
      <c r="L688" s="41" t="n"/>
      <c r="M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  <c r="J689" s="41" t="n"/>
      <c r="K689" s="41" t="n"/>
      <c r="L689" s="41" t="n"/>
      <c r="M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  <c r="J690" s="41" t="n"/>
      <c r="K690" s="41" t="n"/>
      <c r="L690" s="41" t="n"/>
      <c r="M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  <c r="J691" s="41" t="n"/>
      <c r="K691" s="41" t="n"/>
      <c r="L691" s="41" t="n"/>
      <c r="M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  <c r="J692" s="41" t="n"/>
      <c r="K692" s="41" t="n"/>
      <c r="L692" s="41" t="n"/>
      <c r="M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  <c r="J693" s="41" t="n"/>
      <c r="K693" s="41" t="n"/>
      <c r="L693" s="41" t="n"/>
      <c r="M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  <c r="J694" s="41" t="n"/>
      <c r="K694" s="41" t="n"/>
      <c r="L694" s="41" t="n"/>
      <c r="M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  <c r="J695" s="41" t="n"/>
      <c r="K695" s="41" t="n"/>
      <c r="L695" s="41" t="n"/>
      <c r="M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  <c r="J696" s="41" t="n"/>
      <c r="K696" s="41" t="n"/>
      <c r="L696" s="41" t="n"/>
      <c r="M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  <c r="J697" s="41" t="n"/>
      <c r="K697" s="41" t="n"/>
      <c r="L697" s="41" t="n"/>
      <c r="M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  <c r="J698" s="41" t="n"/>
      <c r="K698" s="41" t="n"/>
      <c r="L698" s="41" t="n"/>
      <c r="M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  <c r="J699" s="41" t="n"/>
      <c r="K699" s="41" t="n"/>
      <c r="L699" s="41" t="n"/>
      <c r="M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  <c r="J700" s="41" t="n"/>
      <c r="K700" s="41" t="n"/>
      <c r="L700" s="41" t="n"/>
      <c r="M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  <c r="J701" s="41" t="n"/>
      <c r="K701" s="41" t="n"/>
      <c r="L701" s="41" t="n"/>
      <c r="M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  <c r="J702" s="41" t="n"/>
      <c r="K702" s="41" t="n"/>
      <c r="L702" s="41" t="n"/>
      <c r="M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  <c r="J703" s="41" t="n"/>
      <c r="K703" s="41" t="n"/>
      <c r="L703" s="41" t="n"/>
      <c r="M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  <c r="J704" s="41" t="n"/>
      <c r="K704" s="41" t="n"/>
      <c r="L704" s="41" t="n"/>
      <c r="M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  <c r="J705" s="41" t="n"/>
      <c r="K705" s="41" t="n"/>
      <c r="L705" s="41" t="n"/>
      <c r="M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  <c r="J706" s="41" t="n"/>
      <c r="K706" s="41" t="n"/>
      <c r="L706" s="41" t="n"/>
      <c r="M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  <c r="J707" s="41" t="n"/>
      <c r="K707" s="41" t="n"/>
      <c r="L707" s="41" t="n"/>
      <c r="M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  <c r="J708" s="41" t="n"/>
      <c r="K708" s="41" t="n"/>
      <c r="L708" s="41" t="n"/>
      <c r="M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  <c r="J709" s="41" t="n"/>
      <c r="K709" s="41" t="n"/>
      <c r="L709" s="41" t="n"/>
      <c r="M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  <c r="J710" s="41" t="n"/>
      <c r="K710" s="41" t="n"/>
      <c r="L710" s="41" t="n"/>
      <c r="M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  <c r="J711" s="41" t="n"/>
      <c r="K711" s="41" t="n"/>
      <c r="L711" s="41" t="n"/>
      <c r="M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  <c r="J712" s="41" t="n"/>
      <c r="K712" s="41" t="n"/>
      <c r="L712" s="41" t="n"/>
      <c r="M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  <c r="J713" s="41" t="n"/>
      <c r="K713" s="41" t="n"/>
      <c r="L713" s="41" t="n"/>
      <c r="M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  <c r="J714" s="41" t="n"/>
      <c r="K714" s="41" t="n"/>
      <c r="L714" s="41" t="n"/>
      <c r="M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  <c r="J715" s="41" t="n"/>
      <c r="K715" s="41" t="n"/>
      <c r="L715" s="41" t="n"/>
      <c r="M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  <c r="J716" s="41" t="n"/>
      <c r="K716" s="41" t="n"/>
      <c r="L716" s="41" t="n"/>
      <c r="M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  <c r="J717" s="41" t="n"/>
      <c r="K717" s="41" t="n"/>
      <c r="L717" s="41" t="n"/>
      <c r="M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  <c r="J718" s="41" t="n"/>
      <c r="K718" s="41" t="n"/>
      <c r="L718" s="41" t="n"/>
      <c r="M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  <c r="J719" s="41" t="n"/>
      <c r="K719" s="41" t="n"/>
      <c r="L719" s="41" t="n"/>
      <c r="M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  <c r="J720" s="41" t="n"/>
      <c r="K720" s="41" t="n"/>
      <c r="L720" s="41" t="n"/>
      <c r="M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  <c r="J721" s="41" t="n"/>
      <c r="K721" s="41" t="n"/>
      <c r="L721" s="41" t="n"/>
      <c r="M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  <c r="J722" s="41" t="n"/>
      <c r="K722" s="41" t="n"/>
      <c r="L722" s="41" t="n"/>
      <c r="M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  <c r="J723" s="41" t="n"/>
      <c r="K723" s="41" t="n"/>
      <c r="L723" s="41" t="n"/>
      <c r="M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  <c r="J724" s="41" t="n"/>
      <c r="K724" s="41" t="n"/>
      <c r="L724" s="41" t="n"/>
      <c r="M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  <c r="J725" s="41" t="n"/>
      <c r="K725" s="41" t="n"/>
      <c r="L725" s="41" t="n"/>
      <c r="M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  <c r="J726" s="41" t="n"/>
      <c r="K726" s="41" t="n"/>
      <c r="L726" s="41" t="n"/>
      <c r="M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  <c r="J727" s="41" t="n"/>
      <c r="K727" s="41" t="n"/>
      <c r="L727" s="41" t="n"/>
      <c r="M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  <c r="J728" s="41" t="n"/>
      <c r="K728" s="41" t="n"/>
      <c r="L728" s="41" t="n"/>
      <c r="M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  <c r="J729" s="41" t="n"/>
      <c r="K729" s="41" t="n"/>
      <c r="L729" s="41" t="n"/>
      <c r="M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  <c r="J730" s="41" t="n"/>
      <c r="K730" s="41" t="n"/>
      <c r="L730" s="41" t="n"/>
      <c r="M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  <c r="J731" s="41" t="n"/>
      <c r="K731" s="41" t="n"/>
      <c r="L731" s="41" t="n"/>
      <c r="M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  <c r="J732" s="41" t="n"/>
      <c r="K732" s="41" t="n"/>
      <c r="L732" s="41" t="n"/>
      <c r="M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  <c r="J733" s="41" t="n"/>
      <c r="K733" s="41" t="n"/>
      <c r="L733" s="41" t="n"/>
      <c r="M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  <c r="J734" s="41" t="n"/>
      <c r="K734" s="41" t="n"/>
      <c r="L734" s="41" t="n"/>
      <c r="M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  <c r="J735" s="41" t="n"/>
      <c r="K735" s="41" t="n"/>
      <c r="L735" s="41" t="n"/>
      <c r="M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  <c r="J736" s="41" t="n"/>
      <c r="K736" s="41" t="n"/>
      <c r="L736" s="41" t="n"/>
      <c r="M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  <c r="J737" s="41" t="n"/>
      <c r="K737" s="41" t="n"/>
      <c r="L737" s="41" t="n"/>
      <c r="M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  <c r="J738" s="41" t="n"/>
      <c r="K738" s="41" t="n"/>
      <c r="L738" s="41" t="n"/>
      <c r="M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  <c r="J739" s="41" t="n"/>
      <c r="K739" s="41" t="n"/>
      <c r="L739" s="41" t="n"/>
      <c r="M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  <c r="J740" s="41" t="n"/>
      <c r="K740" s="41" t="n"/>
      <c r="L740" s="41" t="n"/>
      <c r="M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  <c r="J741" s="41" t="n"/>
      <c r="K741" s="41" t="n"/>
      <c r="L741" s="41" t="n"/>
      <c r="M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  <c r="J742" s="41" t="n"/>
      <c r="K742" s="41" t="n"/>
      <c r="L742" s="41" t="n"/>
      <c r="M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  <c r="J743" s="41" t="n"/>
      <c r="K743" s="41" t="n"/>
      <c r="L743" s="41" t="n"/>
      <c r="M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  <c r="J744" s="41" t="n"/>
      <c r="K744" s="41" t="n"/>
      <c r="L744" s="41" t="n"/>
      <c r="M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  <c r="J745" s="41" t="n"/>
      <c r="K745" s="41" t="n"/>
      <c r="L745" s="41" t="n"/>
      <c r="M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  <c r="J746" s="41" t="n"/>
      <c r="K746" s="41" t="n"/>
      <c r="L746" s="41" t="n"/>
      <c r="M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  <c r="J747" s="41" t="n"/>
      <c r="K747" s="41" t="n"/>
      <c r="L747" s="41" t="n"/>
      <c r="M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  <c r="J748" s="41" t="n"/>
      <c r="K748" s="41" t="n"/>
      <c r="L748" s="41" t="n"/>
      <c r="M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  <c r="J749" s="41" t="n"/>
      <c r="K749" s="41" t="n"/>
      <c r="L749" s="41" t="n"/>
      <c r="M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  <c r="J750" s="41" t="n"/>
      <c r="K750" s="41" t="n"/>
      <c r="L750" s="41" t="n"/>
      <c r="M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  <c r="J751" s="41" t="n"/>
      <c r="K751" s="41" t="n"/>
      <c r="L751" s="41" t="n"/>
      <c r="M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  <c r="J752" s="41" t="n"/>
      <c r="K752" s="41" t="n"/>
      <c r="L752" s="41" t="n"/>
      <c r="M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  <c r="J753" s="41" t="n"/>
      <c r="K753" s="41" t="n"/>
      <c r="L753" s="41" t="n"/>
      <c r="M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  <c r="J754" s="41" t="n"/>
      <c r="K754" s="41" t="n"/>
      <c r="L754" s="41" t="n"/>
      <c r="M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  <c r="J755" s="41" t="n"/>
      <c r="K755" s="41" t="n"/>
      <c r="L755" s="41" t="n"/>
      <c r="M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  <c r="J756" s="41" t="n"/>
      <c r="K756" s="41" t="n"/>
      <c r="L756" s="41" t="n"/>
      <c r="M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  <c r="J757" s="41" t="n"/>
      <c r="K757" s="41" t="n"/>
      <c r="L757" s="41" t="n"/>
      <c r="M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  <c r="J758" s="41" t="n"/>
      <c r="K758" s="41" t="n"/>
      <c r="L758" s="41" t="n"/>
      <c r="M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  <c r="J759" s="41" t="n"/>
      <c r="K759" s="41" t="n"/>
      <c r="L759" s="41" t="n"/>
      <c r="M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  <c r="J760" s="41" t="n"/>
      <c r="K760" s="41" t="n"/>
      <c r="L760" s="41" t="n"/>
      <c r="M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  <c r="J761" s="41" t="n"/>
      <c r="K761" s="41" t="n"/>
      <c r="L761" s="41" t="n"/>
      <c r="M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  <c r="J762" s="41" t="n"/>
      <c r="K762" s="41" t="n"/>
      <c r="L762" s="41" t="n"/>
      <c r="M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  <c r="J763" s="41" t="n"/>
      <c r="K763" s="41" t="n"/>
      <c r="L763" s="41" t="n"/>
      <c r="M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  <c r="J764" s="41" t="n"/>
      <c r="K764" s="41" t="n"/>
      <c r="L764" s="41" t="n"/>
      <c r="M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  <c r="J765" s="41" t="n"/>
      <c r="K765" s="41" t="n"/>
      <c r="L765" s="41" t="n"/>
      <c r="M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  <c r="J766" s="41" t="n"/>
      <c r="K766" s="41" t="n"/>
      <c r="L766" s="41" t="n"/>
      <c r="M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  <c r="J767" s="41" t="n"/>
      <c r="K767" s="41" t="n"/>
      <c r="L767" s="41" t="n"/>
      <c r="M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  <c r="J768" s="41" t="n"/>
      <c r="K768" s="41" t="n"/>
      <c r="L768" s="41" t="n"/>
      <c r="M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  <c r="J769" s="41" t="n"/>
      <c r="K769" s="41" t="n"/>
      <c r="L769" s="41" t="n"/>
      <c r="M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  <c r="J770" s="41" t="n"/>
      <c r="K770" s="41" t="n"/>
      <c r="L770" s="41" t="n"/>
      <c r="M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  <c r="J771" s="41" t="n"/>
      <c r="K771" s="41" t="n"/>
      <c r="L771" s="41" t="n"/>
      <c r="M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  <c r="J772" s="41" t="n"/>
      <c r="K772" s="41" t="n"/>
      <c r="L772" s="41" t="n"/>
      <c r="M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  <c r="J773" s="41" t="n"/>
      <c r="K773" s="41" t="n"/>
      <c r="L773" s="41" t="n"/>
      <c r="M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  <c r="J774" s="41" t="n"/>
      <c r="K774" s="41" t="n"/>
      <c r="L774" s="41" t="n"/>
      <c r="M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  <c r="J775" s="41" t="n"/>
      <c r="K775" s="41" t="n"/>
      <c r="L775" s="41" t="n"/>
      <c r="M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  <c r="J776" s="41" t="n"/>
      <c r="K776" s="41" t="n"/>
      <c r="L776" s="41" t="n"/>
      <c r="M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  <c r="J777" s="41" t="n"/>
      <c r="K777" s="41" t="n"/>
      <c r="L777" s="41" t="n"/>
      <c r="M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  <c r="J778" s="41" t="n"/>
      <c r="K778" s="41" t="n"/>
      <c r="L778" s="41" t="n"/>
      <c r="M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  <c r="J779" s="41" t="n"/>
      <c r="K779" s="41" t="n"/>
      <c r="L779" s="41" t="n"/>
      <c r="M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  <c r="J780" s="41" t="n"/>
      <c r="K780" s="41" t="n"/>
      <c r="L780" s="41" t="n"/>
      <c r="M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  <c r="J781" s="41" t="n"/>
      <c r="K781" s="41" t="n"/>
      <c r="L781" s="41" t="n"/>
      <c r="M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  <c r="J782" s="41" t="n"/>
      <c r="K782" s="41" t="n"/>
      <c r="L782" s="41" t="n"/>
      <c r="M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  <c r="J783" s="41" t="n"/>
      <c r="K783" s="41" t="n"/>
      <c r="L783" s="41" t="n"/>
      <c r="M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  <c r="J784" s="41" t="n"/>
      <c r="K784" s="41" t="n"/>
      <c r="L784" s="41" t="n"/>
      <c r="M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  <c r="J785" s="41" t="n"/>
      <c r="K785" s="41" t="n"/>
      <c r="L785" s="41" t="n"/>
      <c r="M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  <c r="J786" s="41" t="n"/>
      <c r="K786" s="41" t="n"/>
      <c r="L786" s="41" t="n"/>
      <c r="M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  <c r="J787" s="41" t="n"/>
      <c r="K787" s="41" t="n"/>
      <c r="L787" s="41" t="n"/>
      <c r="M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  <c r="J788" s="41" t="n"/>
      <c r="K788" s="41" t="n"/>
      <c r="L788" s="41" t="n"/>
      <c r="M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  <c r="J789" s="41" t="n"/>
      <c r="K789" s="41" t="n"/>
      <c r="L789" s="41" t="n"/>
      <c r="M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  <c r="J790" s="41" t="n"/>
      <c r="K790" s="41" t="n"/>
      <c r="L790" s="41" t="n"/>
      <c r="M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  <c r="J791" s="41" t="n"/>
      <c r="K791" s="41" t="n"/>
      <c r="L791" s="41" t="n"/>
      <c r="M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  <c r="J792" s="41" t="n"/>
      <c r="K792" s="41" t="n"/>
      <c r="L792" s="41" t="n"/>
      <c r="M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  <c r="J793" s="41" t="n"/>
      <c r="K793" s="41" t="n"/>
      <c r="L793" s="41" t="n"/>
      <c r="M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  <c r="J794" s="41" t="n"/>
      <c r="K794" s="41" t="n"/>
      <c r="L794" s="41" t="n"/>
      <c r="M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  <c r="J795" s="41" t="n"/>
      <c r="K795" s="41" t="n"/>
      <c r="L795" s="41" t="n"/>
      <c r="M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  <c r="J796" s="41" t="n"/>
      <c r="K796" s="41" t="n"/>
      <c r="L796" s="41" t="n"/>
      <c r="M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  <c r="J797" s="41" t="n"/>
      <c r="K797" s="41" t="n"/>
      <c r="L797" s="41" t="n"/>
      <c r="M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  <c r="J798" s="41" t="n"/>
      <c r="K798" s="41" t="n"/>
      <c r="L798" s="41" t="n"/>
      <c r="M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  <c r="J799" s="41" t="n"/>
      <c r="K799" s="41" t="n"/>
      <c r="L799" s="41" t="n"/>
      <c r="M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  <c r="J800" s="41" t="n"/>
      <c r="K800" s="41" t="n"/>
      <c r="L800" s="41" t="n"/>
      <c r="M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  <c r="J801" s="41" t="n"/>
      <c r="K801" s="41" t="n"/>
      <c r="L801" s="41" t="n"/>
      <c r="M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  <c r="J802" s="41" t="n"/>
      <c r="K802" s="41" t="n"/>
      <c r="L802" s="41" t="n"/>
      <c r="M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  <c r="J803" s="41" t="n"/>
      <c r="K803" s="41" t="n"/>
      <c r="L803" s="41" t="n"/>
      <c r="M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  <c r="J804" s="41" t="n"/>
      <c r="K804" s="41" t="n"/>
      <c r="L804" s="41" t="n"/>
      <c r="M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  <c r="J805" s="41" t="n"/>
      <c r="K805" s="41" t="n"/>
      <c r="L805" s="41" t="n"/>
      <c r="M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  <c r="J806" s="41" t="n"/>
      <c r="K806" s="41" t="n"/>
      <c r="L806" s="41" t="n"/>
      <c r="M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  <c r="J807" s="41" t="n"/>
      <c r="K807" s="41" t="n"/>
      <c r="L807" s="41" t="n"/>
      <c r="M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  <c r="J808" s="41" t="n"/>
      <c r="K808" s="41" t="n"/>
      <c r="L808" s="41" t="n"/>
      <c r="M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  <c r="J809" s="41" t="n"/>
      <c r="K809" s="41" t="n"/>
      <c r="L809" s="41" t="n"/>
      <c r="M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  <c r="J810" s="41" t="n"/>
      <c r="K810" s="41" t="n"/>
      <c r="L810" s="41" t="n"/>
      <c r="M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  <c r="J811" s="41" t="n"/>
      <c r="K811" s="41" t="n"/>
      <c r="L811" s="41" t="n"/>
      <c r="M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  <c r="J812" s="41" t="n"/>
      <c r="K812" s="41" t="n"/>
      <c r="L812" s="41" t="n"/>
      <c r="M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  <c r="J813" s="41" t="n"/>
      <c r="K813" s="41" t="n"/>
      <c r="L813" s="41" t="n"/>
      <c r="M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  <c r="J814" s="41" t="n"/>
      <c r="K814" s="41" t="n"/>
      <c r="L814" s="41" t="n"/>
      <c r="M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  <c r="J815" s="41" t="n"/>
      <c r="K815" s="41" t="n"/>
      <c r="L815" s="41" t="n"/>
      <c r="M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  <c r="J816" s="41" t="n"/>
      <c r="K816" s="41" t="n"/>
      <c r="L816" s="41" t="n"/>
      <c r="M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  <c r="J817" s="41" t="n"/>
      <c r="K817" s="41" t="n"/>
      <c r="L817" s="41" t="n"/>
      <c r="M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  <c r="J818" s="41" t="n"/>
      <c r="K818" s="41" t="n"/>
      <c r="L818" s="41" t="n"/>
      <c r="M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  <c r="J819" s="41" t="n"/>
      <c r="K819" s="41" t="n"/>
      <c r="L819" s="41" t="n"/>
      <c r="M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  <c r="J820" s="41" t="n"/>
      <c r="K820" s="41" t="n"/>
      <c r="L820" s="41" t="n"/>
      <c r="M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  <c r="J821" s="41" t="n"/>
      <c r="K821" s="41" t="n"/>
      <c r="L821" s="41" t="n"/>
      <c r="M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  <c r="J822" s="41" t="n"/>
      <c r="K822" s="41" t="n"/>
      <c r="L822" s="41" t="n"/>
      <c r="M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  <c r="J823" s="41" t="n"/>
      <c r="K823" s="41" t="n"/>
      <c r="L823" s="41" t="n"/>
      <c r="M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  <c r="J824" s="41" t="n"/>
      <c r="K824" s="41" t="n"/>
      <c r="L824" s="41" t="n"/>
      <c r="M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  <c r="J825" s="41" t="n"/>
      <c r="K825" s="41" t="n"/>
      <c r="L825" s="41" t="n"/>
      <c r="M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  <c r="J826" s="41" t="n"/>
      <c r="K826" s="41" t="n"/>
      <c r="L826" s="41" t="n"/>
      <c r="M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  <c r="J827" s="41" t="n"/>
      <c r="K827" s="41" t="n"/>
      <c r="L827" s="41" t="n"/>
      <c r="M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  <c r="J828" s="41" t="n"/>
      <c r="K828" s="41" t="n"/>
      <c r="L828" s="41" t="n"/>
      <c r="M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  <c r="J829" s="41" t="n"/>
      <c r="K829" s="41" t="n"/>
      <c r="L829" s="41" t="n"/>
      <c r="M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  <c r="J830" s="41" t="n"/>
      <c r="K830" s="41" t="n"/>
      <c r="L830" s="41" t="n"/>
      <c r="M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  <c r="J831" s="41" t="n"/>
      <c r="K831" s="41" t="n"/>
      <c r="L831" s="41" t="n"/>
      <c r="M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  <c r="J832" s="41" t="n"/>
      <c r="K832" s="41" t="n"/>
      <c r="L832" s="41" t="n"/>
      <c r="M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  <c r="J833" s="41" t="n"/>
      <c r="K833" s="41" t="n"/>
      <c r="L833" s="41" t="n"/>
      <c r="M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  <c r="J834" s="41" t="n"/>
      <c r="K834" s="41" t="n"/>
      <c r="L834" s="41" t="n"/>
      <c r="M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  <c r="J835" s="41" t="n"/>
      <c r="K835" s="41" t="n"/>
      <c r="L835" s="41" t="n"/>
      <c r="M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  <c r="J836" s="41" t="n"/>
      <c r="K836" s="41" t="n"/>
      <c r="L836" s="41" t="n"/>
      <c r="M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  <c r="J837" s="41" t="n"/>
      <c r="K837" s="41" t="n"/>
      <c r="L837" s="41" t="n"/>
      <c r="M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  <c r="J838" s="41" t="n"/>
      <c r="K838" s="41" t="n"/>
      <c r="L838" s="41" t="n"/>
      <c r="M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  <c r="J839" s="41" t="n"/>
      <c r="K839" s="41" t="n"/>
      <c r="L839" s="41" t="n"/>
      <c r="M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  <c r="J840" s="41" t="n"/>
      <c r="K840" s="41" t="n"/>
      <c r="L840" s="41" t="n"/>
      <c r="M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  <c r="J841" s="41" t="n"/>
      <c r="K841" s="41" t="n"/>
      <c r="L841" s="41" t="n"/>
      <c r="M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  <c r="J842" s="41" t="n"/>
      <c r="K842" s="41" t="n"/>
      <c r="L842" s="41" t="n"/>
      <c r="M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  <c r="J843" s="41" t="n"/>
      <c r="K843" s="41" t="n"/>
      <c r="L843" s="41" t="n"/>
      <c r="M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  <c r="J844" s="41" t="n"/>
      <c r="K844" s="41" t="n"/>
      <c r="L844" s="41" t="n"/>
      <c r="M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  <c r="J845" s="41" t="n"/>
      <c r="K845" s="41" t="n"/>
      <c r="L845" s="41" t="n"/>
      <c r="M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  <c r="J846" s="41" t="n"/>
      <c r="K846" s="41" t="n"/>
      <c r="L846" s="41" t="n"/>
      <c r="M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  <c r="J847" s="41" t="n"/>
      <c r="K847" s="41" t="n"/>
      <c r="L847" s="41" t="n"/>
      <c r="M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  <c r="J848" s="41" t="n"/>
      <c r="K848" s="41" t="n"/>
      <c r="L848" s="41" t="n"/>
      <c r="M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  <c r="J849" s="41" t="n"/>
      <c r="K849" s="41" t="n"/>
      <c r="L849" s="41" t="n"/>
      <c r="M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  <c r="J850" s="41" t="n"/>
      <c r="K850" s="41" t="n"/>
      <c r="L850" s="41" t="n"/>
      <c r="M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  <c r="J851" s="41" t="n"/>
      <c r="K851" s="41" t="n"/>
      <c r="L851" s="41" t="n"/>
      <c r="M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  <c r="J852" s="41" t="n"/>
      <c r="K852" s="41" t="n"/>
      <c r="L852" s="41" t="n"/>
      <c r="M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  <c r="J853" s="41" t="n"/>
      <c r="K853" s="41" t="n"/>
      <c r="L853" s="41" t="n"/>
      <c r="M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  <c r="J854" s="41" t="n"/>
      <c r="K854" s="41" t="n"/>
      <c r="L854" s="41" t="n"/>
      <c r="M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  <c r="J855" s="41" t="n"/>
      <c r="K855" s="41" t="n"/>
      <c r="L855" s="41" t="n"/>
      <c r="M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  <c r="J856" s="41" t="n"/>
      <c r="K856" s="41" t="n"/>
      <c r="L856" s="41" t="n"/>
      <c r="M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  <c r="J857" s="41" t="n"/>
      <c r="K857" s="41" t="n"/>
      <c r="L857" s="41" t="n"/>
      <c r="M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  <c r="J858" s="41" t="n"/>
      <c r="K858" s="41" t="n"/>
      <c r="L858" s="41" t="n"/>
      <c r="M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  <c r="J859" s="41" t="n"/>
      <c r="K859" s="41" t="n"/>
      <c r="L859" s="41" t="n"/>
      <c r="M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  <c r="J860" s="41" t="n"/>
      <c r="K860" s="41" t="n"/>
      <c r="L860" s="41" t="n"/>
      <c r="M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  <c r="J861" s="41" t="n"/>
      <c r="K861" s="41" t="n"/>
      <c r="L861" s="41" t="n"/>
      <c r="M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  <c r="J862" s="41" t="n"/>
      <c r="K862" s="41" t="n"/>
      <c r="L862" s="41" t="n"/>
      <c r="M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  <c r="J863" s="41" t="n"/>
      <c r="K863" s="41" t="n"/>
      <c r="L863" s="41" t="n"/>
      <c r="M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  <c r="J864" s="41" t="n"/>
      <c r="K864" s="41" t="n"/>
      <c r="L864" s="41" t="n"/>
      <c r="M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  <c r="J865" s="41" t="n"/>
      <c r="K865" s="41" t="n"/>
      <c r="L865" s="41" t="n"/>
      <c r="M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  <c r="J866" s="41" t="n"/>
      <c r="K866" s="41" t="n"/>
      <c r="L866" s="41" t="n"/>
      <c r="M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  <c r="J867" s="41" t="n"/>
      <c r="K867" s="41" t="n"/>
      <c r="L867" s="41" t="n"/>
      <c r="M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  <c r="J868" s="41" t="n"/>
      <c r="K868" s="41" t="n"/>
      <c r="L868" s="41" t="n"/>
      <c r="M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  <c r="J869" s="41" t="n"/>
      <c r="K869" s="41" t="n"/>
      <c r="L869" s="41" t="n"/>
      <c r="M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  <c r="J870" s="41" t="n"/>
      <c r="K870" s="41" t="n"/>
      <c r="L870" s="41" t="n"/>
      <c r="M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  <c r="J871" s="41" t="n"/>
      <c r="K871" s="41" t="n"/>
      <c r="L871" s="41" t="n"/>
      <c r="M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  <c r="J872" s="41" t="n"/>
      <c r="K872" s="41" t="n"/>
      <c r="L872" s="41" t="n"/>
      <c r="M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  <c r="J873" s="41" t="n"/>
      <c r="K873" s="41" t="n"/>
      <c r="L873" s="41" t="n"/>
      <c r="M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  <c r="J874" s="41" t="n"/>
      <c r="K874" s="41" t="n"/>
      <c r="L874" s="41" t="n"/>
      <c r="M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  <c r="J875" s="41" t="n"/>
      <c r="K875" s="41" t="n"/>
      <c r="L875" s="41" t="n"/>
      <c r="M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  <c r="J876" s="41" t="n"/>
      <c r="K876" s="41" t="n"/>
      <c r="L876" s="41" t="n"/>
      <c r="M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  <c r="J877" s="41" t="n"/>
      <c r="K877" s="41" t="n"/>
      <c r="L877" s="41" t="n"/>
      <c r="M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  <c r="J878" s="41" t="n"/>
      <c r="K878" s="41" t="n"/>
      <c r="L878" s="41" t="n"/>
      <c r="M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  <c r="J879" s="41" t="n"/>
      <c r="K879" s="41" t="n"/>
      <c r="L879" s="41" t="n"/>
      <c r="M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  <c r="J880" s="41" t="n"/>
      <c r="K880" s="41" t="n"/>
      <c r="L880" s="41" t="n"/>
      <c r="M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  <c r="J881" s="41" t="n"/>
      <c r="K881" s="41" t="n"/>
      <c r="L881" s="41" t="n"/>
      <c r="M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  <c r="J882" s="41" t="n"/>
      <c r="K882" s="41" t="n"/>
      <c r="L882" s="41" t="n"/>
      <c r="M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  <c r="J883" s="41" t="n"/>
      <c r="K883" s="41" t="n"/>
      <c r="L883" s="41" t="n"/>
      <c r="M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  <c r="J884" s="41" t="n"/>
      <c r="K884" s="41" t="n"/>
      <c r="L884" s="41" t="n"/>
      <c r="M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  <c r="J885" s="41" t="n"/>
      <c r="K885" s="41" t="n"/>
      <c r="L885" s="41" t="n"/>
      <c r="M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  <c r="J886" s="41" t="n"/>
      <c r="K886" s="41" t="n"/>
      <c r="L886" s="41" t="n"/>
      <c r="M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  <c r="J887" s="41" t="n"/>
      <c r="K887" s="41" t="n"/>
      <c r="L887" s="41" t="n"/>
      <c r="M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  <c r="J888" s="41" t="n"/>
      <c r="K888" s="41" t="n"/>
      <c r="L888" s="41" t="n"/>
      <c r="M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  <c r="J889" s="41" t="n"/>
      <c r="K889" s="41" t="n"/>
      <c r="L889" s="41" t="n"/>
      <c r="M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  <c r="J890" s="41" t="n"/>
      <c r="K890" s="41" t="n"/>
      <c r="L890" s="41" t="n"/>
      <c r="M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  <c r="J891" s="41" t="n"/>
      <c r="K891" s="41" t="n"/>
      <c r="L891" s="41" t="n"/>
      <c r="M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  <c r="J892" s="41" t="n"/>
      <c r="K892" s="41" t="n"/>
      <c r="L892" s="41" t="n"/>
      <c r="M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  <c r="J893" s="41" t="n"/>
      <c r="K893" s="41" t="n"/>
      <c r="L893" s="41" t="n"/>
      <c r="M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  <c r="J894" s="41" t="n"/>
      <c r="K894" s="41" t="n"/>
      <c r="L894" s="41" t="n"/>
      <c r="M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  <c r="J895" s="41" t="n"/>
      <c r="K895" s="41" t="n"/>
      <c r="L895" s="41" t="n"/>
      <c r="M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  <c r="J896" s="41" t="n"/>
      <c r="K896" s="41" t="n"/>
      <c r="L896" s="41" t="n"/>
      <c r="M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  <c r="J897" s="41" t="n"/>
      <c r="K897" s="41" t="n"/>
      <c r="L897" s="41" t="n"/>
      <c r="M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  <c r="J898" s="41" t="n"/>
      <c r="K898" s="41" t="n"/>
      <c r="L898" s="41" t="n"/>
      <c r="M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  <c r="J899" s="41" t="n"/>
      <c r="K899" s="41" t="n"/>
      <c r="L899" s="41" t="n"/>
      <c r="M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  <c r="J900" s="41" t="n"/>
      <c r="K900" s="41" t="n"/>
      <c r="L900" s="41" t="n"/>
      <c r="M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  <c r="J901" s="41" t="n"/>
      <c r="K901" s="41" t="n"/>
      <c r="L901" s="41" t="n"/>
      <c r="M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  <c r="J902" s="41" t="n"/>
      <c r="K902" s="41" t="n"/>
      <c r="L902" s="41" t="n"/>
      <c r="M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  <c r="J903" s="41" t="n"/>
      <c r="K903" s="41" t="n"/>
      <c r="L903" s="41" t="n"/>
      <c r="M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  <c r="J904" s="41" t="n"/>
      <c r="K904" s="41" t="n"/>
      <c r="L904" s="41" t="n"/>
      <c r="M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  <c r="J905" s="41" t="n"/>
      <c r="K905" s="41" t="n"/>
      <c r="L905" s="41" t="n"/>
      <c r="M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  <c r="J906" s="41" t="n"/>
      <c r="K906" s="41" t="n"/>
      <c r="L906" s="41" t="n"/>
      <c r="M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  <c r="J907" s="41" t="n"/>
      <c r="K907" s="41" t="n"/>
      <c r="L907" s="41" t="n"/>
      <c r="M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  <c r="J908" s="41" t="n"/>
      <c r="K908" s="41" t="n"/>
      <c r="L908" s="41" t="n"/>
      <c r="M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  <c r="J909" s="41" t="n"/>
      <c r="K909" s="41" t="n"/>
      <c r="L909" s="41" t="n"/>
      <c r="M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  <c r="J910" s="41" t="n"/>
      <c r="K910" s="41" t="n"/>
      <c r="L910" s="41" t="n"/>
      <c r="M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  <c r="J911" s="41" t="n"/>
      <c r="K911" s="41" t="n"/>
      <c r="L911" s="41" t="n"/>
      <c r="M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  <c r="J912" s="41" t="n"/>
      <c r="K912" s="41" t="n"/>
      <c r="L912" s="41" t="n"/>
      <c r="M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  <c r="J913" s="41" t="n"/>
      <c r="K913" s="41" t="n"/>
      <c r="L913" s="41" t="n"/>
      <c r="M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  <c r="J914" s="41" t="n"/>
      <c r="K914" s="41" t="n"/>
      <c r="L914" s="41" t="n"/>
      <c r="M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  <c r="J915" s="41" t="n"/>
      <c r="K915" s="41" t="n"/>
      <c r="L915" s="41" t="n"/>
      <c r="M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  <c r="J916" s="41" t="n"/>
      <c r="K916" s="41" t="n"/>
      <c r="L916" s="41" t="n"/>
      <c r="M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  <c r="J917" s="41" t="n"/>
      <c r="K917" s="41" t="n"/>
      <c r="L917" s="41" t="n"/>
      <c r="M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  <c r="J918" s="41" t="n"/>
      <c r="K918" s="41" t="n"/>
      <c r="L918" s="41" t="n"/>
      <c r="M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  <c r="J919" s="41" t="n"/>
      <c r="K919" s="41" t="n"/>
      <c r="L919" s="41" t="n"/>
      <c r="M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  <c r="J920" s="41" t="n"/>
      <c r="K920" s="41" t="n"/>
      <c r="L920" s="41" t="n"/>
      <c r="M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  <c r="J921" s="41" t="n"/>
      <c r="K921" s="41" t="n"/>
      <c r="L921" s="41" t="n"/>
      <c r="M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  <c r="J922" s="41" t="n"/>
      <c r="K922" s="41" t="n"/>
      <c r="L922" s="41" t="n"/>
      <c r="M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  <c r="J923" s="41" t="n"/>
      <c r="K923" s="41" t="n"/>
      <c r="L923" s="41" t="n"/>
      <c r="M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  <c r="J924" s="41" t="n"/>
      <c r="K924" s="41" t="n"/>
      <c r="L924" s="41" t="n"/>
      <c r="M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  <c r="J925" s="41" t="n"/>
      <c r="K925" s="41" t="n"/>
      <c r="L925" s="41" t="n"/>
      <c r="M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  <c r="J926" s="41" t="n"/>
      <c r="K926" s="41" t="n"/>
      <c r="L926" s="41" t="n"/>
      <c r="M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  <c r="J927" s="41" t="n"/>
      <c r="K927" s="41" t="n"/>
      <c r="L927" s="41" t="n"/>
      <c r="M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  <c r="J928" s="41" t="n"/>
      <c r="K928" s="41" t="n"/>
      <c r="L928" s="41" t="n"/>
      <c r="M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  <c r="J929" s="41" t="n"/>
      <c r="K929" s="41" t="n"/>
      <c r="L929" s="41" t="n"/>
      <c r="M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  <c r="J930" s="41" t="n"/>
      <c r="K930" s="41" t="n"/>
      <c r="L930" s="41" t="n"/>
      <c r="M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  <c r="J931" s="41" t="n"/>
      <c r="K931" s="41" t="n"/>
      <c r="L931" s="41" t="n"/>
      <c r="M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  <c r="J932" s="41" t="n"/>
      <c r="K932" s="41" t="n"/>
      <c r="L932" s="41" t="n"/>
      <c r="M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  <c r="J933" s="41" t="n"/>
      <c r="K933" s="41" t="n"/>
      <c r="L933" s="41" t="n"/>
      <c r="M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  <c r="J934" s="41" t="n"/>
      <c r="K934" s="41" t="n"/>
      <c r="L934" s="41" t="n"/>
      <c r="M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  <c r="J935" s="41" t="n"/>
      <c r="K935" s="41" t="n"/>
      <c r="L935" s="41" t="n"/>
      <c r="M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  <c r="J936" s="41" t="n"/>
      <c r="K936" s="41" t="n"/>
      <c r="L936" s="41" t="n"/>
      <c r="M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  <c r="J937" s="41" t="n"/>
      <c r="K937" s="41" t="n"/>
      <c r="L937" s="41" t="n"/>
      <c r="M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  <c r="J938" s="41" t="n"/>
      <c r="K938" s="41" t="n"/>
      <c r="L938" s="41" t="n"/>
      <c r="M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  <c r="J939" s="41" t="n"/>
      <c r="K939" s="41" t="n"/>
      <c r="L939" s="41" t="n"/>
      <c r="M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  <c r="J940" s="41" t="n"/>
      <c r="K940" s="41" t="n"/>
      <c r="L940" s="41" t="n"/>
      <c r="M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  <c r="J941" s="41" t="n"/>
      <c r="K941" s="41" t="n"/>
      <c r="L941" s="41" t="n"/>
      <c r="M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  <c r="J942" s="41" t="n"/>
      <c r="K942" s="41" t="n"/>
      <c r="L942" s="41" t="n"/>
      <c r="M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  <c r="J943" s="41" t="n"/>
      <c r="K943" s="41" t="n"/>
      <c r="L943" s="41" t="n"/>
      <c r="M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  <c r="J944" s="41" t="n"/>
      <c r="K944" s="41" t="n"/>
      <c r="L944" s="41" t="n"/>
      <c r="M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  <c r="J945" s="41" t="n"/>
      <c r="K945" s="41" t="n"/>
      <c r="L945" s="41" t="n"/>
      <c r="M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  <c r="J946" s="41" t="n"/>
      <c r="K946" s="41" t="n"/>
      <c r="L946" s="41" t="n"/>
      <c r="M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  <c r="J947" s="41" t="n"/>
      <c r="K947" s="41" t="n"/>
      <c r="L947" s="41" t="n"/>
      <c r="M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  <c r="J948" s="41" t="n"/>
      <c r="K948" s="41" t="n"/>
      <c r="L948" s="41" t="n"/>
      <c r="M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  <c r="J949" s="41" t="n"/>
      <c r="K949" s="41" t="n"/>
      <c r="L949" s="41" t="n"/>
      <c r="M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  <c r="J950" s="41" t="n"/>
      <c r="K950" s="41" t="n"/>
      <c r="L950" s="41" t="n"/>
      <c r="M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  <c r="J951" s="41" t="n"/>
      <c r="K951" s="41" t="n"/>
      <c r="L951" s="41" t="n"/>
      <c r="M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  <c r="J952" s="41" t="n"/>
      <c r="K952" s="41" t="n"/>
      <c r="L952" s="41" t="n"/>
      <c r="M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  <c r="J953" s="41" t="n"/>
      <c r="K953" s="41" t="n"/>
      <c r="L953" s="41" t="n"/>
      <c r="M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  <c r="J954" s="41" t="n"/>
      <c r="K954" s="41" t="n"/>
      <c r="L954" s="41" t="n"/>
      <c r="M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  <c r="J955" s="41" t="n"/>
      <c r="K955" s="41" t="n"/>
      <c r="L955" s="41" t="n"/>
      <c r="M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  <c r="J956" s="41" t="n"/>
      <c r="K956" s="41" t="n"/>
      <c r="L956" s="41" t="n"/>
      <c r="M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  <c r="J957" s="41" t="n"/>
      <c r="K957" s="41" t="n"/>
      <c r="L957" s="41" t="n"/>
      <c r="M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  <c r="J958" s="41" t="n"/>
      <c r="K958" s="41" t="n"/>
      <c r="L958" s="41" t="n"/>
      <c r="M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  <c r="J959" s="41" t="n"/>
      <c r="K959" s="41" t="n"/>
      <c r="L959" s="41" t="n"/>
      <c r="M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  <c r="J960" s="41" t="n"/>
      <c r="K960" s="41" t="n"/>
      <c r="L960" s="41" t="n"/>
      <c r="M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  <c r="J961" s="41" t="n"/>
      <c r="K961" s="41" t="n"/>
      <c r="L961" s="41" t="n"/>
      <c r="M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  <c r="J962" s="41" t="n"/>
      <c r="K962" s="41" t="n"/>
      <c r="L962" s="41" t="n"/>
      <c r="M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  <c r="J963" s="41" t="n"/>
      <c r="K963" s="41" t="n"/>
      <c r="L963" s="41" t="n"/>
      <c r="M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  <c r="J964" s="41" t="n"/>
      <c r="K964" s="41" t="n"/>
      <c r="L964" s="41" t="n"/>
      <c r="M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  <c r="J965" s="41" t="n"/>
      <c r="K965" s="41" t="n"/>
      <c r="L965" s="41" t="n"/>
      <c r="M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  <c r="J966" s="41" t="n"/>
      <c r="K966" s="41" t="n"/>
      <c r="L966" s="41" t="n"/>
      <c r="M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  <c r="J967" s="41" t="n"/>
      <c r="K967" s="41" t="n"/>
      <c r="L967" s="41" t="n"/>
      <c r="M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  <c r="J968" s="41" t="n"/>
      <c r="K968" s="41" t="n"/>
      <c r="L968" s="41" t="n"/>
      <c r="M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  <c r="J969" s="41" t="n"/>
      <c r="K969" s="41" t="n"/>
      <c r="L969" s="41" t="n"/>
      <c r="M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  <c r="J970" s="41" t="n"/>
      <c r="K970" s="41" t="n"/>
      <c r="L970" s="41" t="n"/>
      <c r="M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  <c r="J971" s="41" t="n"/>
      <c r="K971" s="41" t="n"/>
      <c r="L971" s="41" t="n"/>
      <c r="M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  <c r="J972" s="41" t="n"/>
      <c r="K972" s="41" t="n"/>
      <c r="L972" s="41" t="n"/>
      <c r="M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  <c r="J973" s="41" t="n"/>
      <c r="K973" s="41" t="n"/>
      <c r="L973" s="41" t="n"/>
      <c r="M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  <c r="J974" s="41" t="n"/>
      <c r="K974" s="41" t="n"/>
      <c r="L974" s="41" t="n"/>
      <c r="M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  <c r="J975" s="41" t="n"/>
      <c r="K975" s="41" t="n"/>
      <c r="L975" s="41" t="n"/>
      <c r="M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  <c r="J976" s="41" t="n"/>
      <c r="K976" s="41" t="n"/>
      <c r="L976" s="41" t="n"/>
      <c r="M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  <c r="J977" s="41" t="n"/>
      <c r="K977" s="41" t="n"/>
      <c r="L977" s="41" t="n"/>
      <c r="M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  <c r="J978" s="41" t="n"/>
      <c r="K978" s="41" t="n"/>
      <c r="L978" s="41" t="n"/>
      <c r="M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  <c r="J979" s="41" t="n"/>
      <c r="K979" s="41" t="n"/>
      <c r="L979" s="41" t="n"/>
      <c r="M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  <c r="J980" s="41" t="n"/>
      <c r="K980" s="41" t="n"/>
      <c r="L980" s="41" t="n"/>
      <c r="M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  <c r="J981" s="41" t="n"/>
      <c r="K981" s="41" t="n"/>
      <c r="L981" s="41" t="n"/>
      <c r="M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  <c r="J982" s="41" t="n"/>
      <c r="K982" s="41" t="n"/>
      <c r="L982" s="41" t="n"/>
      <c r="M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  <c r="J983" s="41" t="n"/>
      <c r="K983" s="41" t="n"/>
      <c r="L983" s="41" t="n"/>
      <c r="M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  <c r="J984" s="41" t="n"/>
      <c r="K984" s="41" t="n"/>
      <c r="L984" s="41" t="n"/>
      <c r="M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  <c r="J985" s="41" t="n"/>
      <c r="K985" s="41" t="n"/>
      <c r="L985" s="41" t="n"/>
      <c r="M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  <c r="J986" s="41" t="n"/>
      <c r="K986" s="41" t="n"/>
      <c r="L986" s="41" t="n"/>
      <c r="M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  <c r="J987" s="41" t="n"/>
      <c r="K987" s="41" t="n"/>
      <c r="L987" s="41" t="n"/>
      <c r="M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  <c r="J988" s="41" t="n"/>
      <c r="K988" s="41" t="n"/>
      <c r="L988" s="41" t="n"/>
      <c r="M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  <c r="J989" s="41" t="n"/>
      <c r="K989" s="41" t="n"/>
      <c r="L989" s="41" t="n"/>
      <c r="M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  <c r="J990" s="41" t="n"/>
      <c r="K990" s="41" t="n"/>
      <c r="L990" s="41" t="n"/>
      <c r="M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  <c r="J991" s="41" t="n"/>
      <c r="K991" s="41" t="n"/>
      <c r="L991" s="41" t="n"/>
      <c r="M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  <c r="J992" s="41" t="n"/>
      <c r="K992" s="41" t="n"/>
      <c r="L992" s="41" t="n"/>
      <c r="M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  <c r="J993" s="41" t="n"/>
      <c r="K993" s="41" t="n"/>
      <c r="L993" s="41" t="n"/>
      <c r="M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  <c r="J994" s="41" t="n"/>
      <c r="K994" s="41" t="n"/>
      <c r="L994" s="41" t="n"/>
      <c r="M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  <c r="J995" s="41" t="n"/>
      <c r="K995" s="41" t="n"/>
      <c r="L995" s="41" t="n"/>
      <c r="M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  <c r="J996" s="41" t="n"/>
      <c r="K996" s="41" t="n"/>
      <c r="L996" s="41" t="n"/>
      <c r="M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G997" s="41" t="n"/>
      <c r="H997" s="41" t="n"/>
      <c r="I997" s="41" t="n"/>
      <c r="J997" s="41" t="n"/>
      <c r="K997" s="41" t="n"/>
      <c r="L997" s="41" t="n"/>
      <c r="M997" s="41" t="n"/>
    </row>
    <row r="998" ht="15.75" customHeight="1" s="119"/>
    <row r="999" ht="15.75" customHeight="1" s="119"/>
    <row r="1000" ht="15.75" customHeight="1" s="119"/>
  </sheetData>
  <autoFilter ref="A4:M40"/>
  <mergeCells count="2">
    <mergeCell ref="A2:M2"/>
    <mergeCell ref="A1:M1"/>
  </mergeCells>
  <pageMargins left="0.7" right="0.7" top="0.75" bottom="0.75" header="0" footer="0"/>
  <pageSetup orientation="landscape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8" customWidth="1" style="119" min="1" max="1"/>
    <col width="10" customWidth="1" style="119" min="2" max="4"/>
    <col width="23" customWidth="1" style="119" min="4" max="4"/>
    <col width="11" customWidth="1" style="119" min="5" max="5"/>
    <col width="3" customWidth="1" style="119" min="6" max="6"/>
    <col width="8.710000000000001" customWidth="1" style="119" min="7" max="26"/>
  </cols>
  <sheetData>
    <row r="1" ht="24" customHeight="1" s="119">
      <c r="A1" s="113" t="inlineStr">
        <is>
          <t>DAIC Positive F1 Comparison</t>
        </is>
      </c>
    </row>
    <row r="2" ht="21.75" customHeight="1" s="119">
      <c r="A2" s="114" t="inlineStr">
        <is>
          <t>Comparable Qwen, LogReg, and best protocol-valid XGBoost Optuna results</t>
        </is>
      </c>
    </row>
    <row r="3">
      <c r="A3" s="41" t="n"/>
      <c r="B3" s="41" t="n"/>
      <c r="C3" s="41" t="n"/>
      <c r="D3" s="41" t="n"/>
      <c r="E3" s="41" t="n"/>
      <c r="F3" s="41" t="n"/>
    </row>
    <row r="4">
      <c r="A4" s="115" t="inlineStr">
        <is>
          <t>Modality</t>
        </is>
      </c>
      <c r="B4" s="115" t="inlineStr">
        <is>
          <t>Qwen</t>
        </is>
      </c>
      <c r="C4" s="115" t="inlineStr">
        <is>
          <t>LogReg</t>
        </is>
      </c>
      <c r="D4" s="115" t="inlineStr">
        <is>
          <t>Best XGBoost Optuna</t>
        </is>
      </c>
      <c r="E4" s="115" t="n"/>
      <c r="F4" s="41" t="n"/>
    </row>
    <row r="5">
      <c r="A5" s="116" t="inlineStr">
        <is>
          <t>Audio + Text</t>
        </is>
      </c>
      <c r="B5" s="117" t="n">
        <v>0.718</v>
      </c>
      <c r="C5" s="118" t="n">
        <v>0.8</v>
      </c>
      <c r="D5" s="117" t="n">
        <v>0.666667</v>
      </c>
      <c r="E5" s="117" t="n"/>
      <c r="F5" s="41" t="n"/>
    </row>
    <row r="6">
      <c r="A6" s="116" t="inlineStr">
        <is>
          <t>Audio only</t>
        </is>
      </c>
      <c r="B6" s="117" t="n">
        <v>0.595</v>
      </c>
      <c r="C6" s="117" t="n">
        <v>0.628571</v>
      </c>
      <c r="D6" s="118" t="n">
        <v>0.648649</v>
      </c>
      <c r="E6" s="117" t="n"/>
      <c r="F6" s="41" t="n"/>
    </row>
    <row r="7">
      <c r="A7" s="116" t="inlineStr">
        <is>
          <t>Text only</t>
        </is>
      </c>
      <c r="B7" s="117" t="n">
        <v>0.6919999999999999</v>
      </c>
      <c r="C7" s="118" t="n">
        <v>0.740741</v>
      </c>
      <c r="D7" s="118" t="n">
        <v>0.740741</v>
      </c>
      <c r="E7" s="117" t="n"/>
      <c r="F7" s="41" t="n"/>
    </row>
    <row r="8">
      <c r="A8" s="41" t="n"/>
      <c r="B8" s="41" t="n"/>
      <c r="C8" s="41" t="n"/>
      <c r="D8" s="41" t="n"/>
      <c r="E8" s="41" t="n"/>
      <c r="F8" s="41" t="n"/>
    </row>
    <row r="9">
      <c r="A9" s="41" t="n"/>
      <c r="B9" s="41" t="n"/>
      <c r="C9" s="41" t="n"/>
      <c r="D9" s="41" t="n"/>
      <c r="E9" s="41" t="n"/>
      <c r="F9" s="41" t="n"/>
    </row>
    <row r="10">
      <c r="A10" s="41" t="n"/>
      <c r="B10" s="41" t="n"/>
      <c r="C10" s="41" t="n"/>
      <c r="D10" s="41" t="n"/>
      <c r="E10" s="41" t="n"/>
      <c r="F10" s="41" t="n"/>
    </row>
    <row r="11">
      <c r="A11" s="41" t="n"/>
      <c r="B11" s="41" t="n"/>
      <c r="C11" s="41" t="n"/>
      <c r="D11" s="41" t="n"/>
      <c r="E11" s="41" t="n"/>
      <c r="F11" s="41" t="n"/>
    </row>
    <row r="12">
      <c r="A12" s="41" t="n"/>
      <c r="B12" s="41" t="n"/>
      <c r="C12" s="41" t="n"/>
      <c r="D12" s="41" t="n"/>
      <c r="E12" s="41" t="n"/>
      <c r="F12" s="41" t="n"/>
    </row>
    <row r="13">
      <c r="A13" s="41" t="n"/>
      <c r="B13" s="41" t="n"/>
      <c r="C13" s="41" t="n"/>
      <c r="D13" s="41" t="n"/>
      <c r="E13" s="41" t="n"/>
      <c r="F13" s="41" t="n"/>
    </row>
    <row r="14">
      <c r="A14" s="41" t="n"/>
      <c r="B14" s="41" t="n"/>
      <c r="C14" s="41" t="n"/>
      <c r="D14" s="41" t="n"/>
      <c r="E14" s="41" t="n"/>
      <c r="F14" s="41" t="n"/>
    </row>
    <row r="15">
      <c r="A15" s="41" t="n"/>
      <c r="B15" s="41" t="n"/>
      <c r="C15" s="41" t="n"/>
      <c r="D15" s="41" t="n"/>
      <c r="E15" s="41" t="n"/>
      <c r="F15" s="41" t="n"/>
    </row>
    <row r="16">
      <c r="A16" s="41" t="n"/>
      <c r="B16" s="41" t="n"/>
      <c r="C16" s="41" t="n"/>
      <c r="D16" s="41" t="n"/>
      <c r="E16" s="41" t="n"/>
      <c r="F16" s="41" t="n"/>
    </row>
    <row r="17">
      <c r="A17" s="41" t="n"/>
      <c r="B17" s="41" t="n"/>
      <c r="C17" s="41" t="n"/>
      <c r="D17" s="41" t="n"/>
      <c r="E17" s="41" t="n"/>
      <c r="F17" s="41" t="n"/>
    </row>
    <row r="18">
      <c r="A18" s="41" t="n"/>
      <c r="B18" s="41" t="n"/>
      <c r="C18" s="41" t="n"/>
      <c r="D18" s="41" t="n"/>
      <c r="E18" s="41" t="n"/>
      <c r="F18" s="41" t="n"/>
    </row>
    <row r="19">
      <c r="A19" s="41" t="n"/>
      <c r="B19" s="41" t="n"/>
      <c r="C19" s="41" t="n"/>
      <c r="D19" s="41" t="n"/>
      <c r="E19" s="41" t="n"/>
      <c r="F19" s="41" t="n"/>
    </row>
    <row r="20">
      <c r="A20" s="41" t="n"/>
      <c r="B20" s="41" t="n"/>
      <c r="C20" s="41" t="n"/>
      <c r="D20" s="41" t="n"/>
      <c r="E20" s="41" t="n"/>
      <c r="F20" s="41" t="n"/>
    </row>
    <row r="21" ht="15.75" customHeight="1" s="119">
      <c r="A21" s="41" t="n"/>
      <c r="B21" s="41" t="n"/>
      <c r="C21" s="41" t="n"/>
      <c r="D21" s="41" t="n"/>
      <c r="E21" s="41" t="n"/>
      <c r="F21" s="41" t="n"/>
    </row>
    <row r="22" ht="15.75" customHeight="1" s="119">
      <c r="A22" s="41" t="n"/>
      <c r="B22" s="41" t="n"/>
      <c r="C22" s="41" t="n"/>
      <c r="D22" s="41" t="n"/>
      <c r="E22" s="41" t="n"/>
      <c r="F22" s="41" t="n"/>
    </row>
    <row r="23" ht="15.75" customHeight="1" s="119">
      <c r="A23" s="41" t="n"/>
      <c r="B23" s="41" t="n"/>
      <c r="C23" s="41" t="n"/>
      <c r="D23" s="41" t="n"/>
      <c r="E23" s="41" t="n"/>
      <c r="F23" s="41" t="n"/>
    </row>
    <row r="24" ht="15.75" customHeight="1" s="119">
      <c r="A24" s="41" t="n"/>
      <c r="B24" s="41" t="n"/>
      <c r="C24" s="41" t="n"/>
      <c r="D24" s="41" t="n"/>
      <c r="E24" s="41" t="n"/>
      <c r="F24" s="41" t="n"/>
    </row>
    <row r="25" ht="15.75" customHeight="1" s="119">
      <c r="A25" s="41" t="n"/>
      <c r="B25" s="41" t="n"/>
      <c r="C25" s="41" t="n"/>
      <c r="D25" s="41" t="n"/>
      <c r="E25" s="41" t="n"/>
      <c r="F25" s="41" t="n"/>
    </row>
    <row r="26" ht="15.75" customHeight="1" s="119">
      <c r="A26" s="41" t="n"/>
      <c r="B26" s="41" t="n"/>
      <c r="C26" s="41" t="n"/>
      <c r="D26" s="41" t="n"/>
      <c r="E26" s="41" t="n"/>
      <c r="F26" s="41" t="n"/>
    </row>
    <row r="27" ht="15.75" customHeight="1" s="119">
      <c r="A27" s="41" t="n"/>
      <c r="B27" s="41" t="n"/>
      <c r="C27" s="41" t="n"/>
      <c r="D27" s="41" t="n"/>
      <c r="E27" s="41" t="n"/>
      <c r="F27" s="41" t="n"/>
    </row>
    <row r="28" ht="15.75" customHeight="1" s="119">
      <c r="A28" s="41" t="n"/>
      <c r="B28" s="41" t="n"/>
      <c r="C28" s="41" t="n"/>
      <c r="D28" s="41" t="n"/>
      <c r="E28" s="41" t="n"/>
      <c r="F28" s="41" t="n"/>
    </row>
    <row r="29" ht="15.75" customHeight="1" s="119">
      <c r="A29" s="41" t="n"/>
      <c r="B29" s="41" t="n"/>
      <c r="C29" s="41" t="n"/>
      <c r="D29" s="41" t="n"/>
      <c r="E29" s="41" t="n"/>
      <c r="F29" s="41" t="n"/>
    </row>
    <row r="30" ht="15.75" customHeight="1" s="119">
      <c r="A30" s="41" t="n"/>
      <c r="B30" s="41" t="n"/>
      <c r="C30" s="41" t="n"/>
      <c r="D30" s="41" t="n"/>
      <c r="E30" s="41" t="n"/>
      <c r="F30" s="41" t="n"/>
    </row>
    <row r="31" ht="15.75" customHeight="1" s="119">
      <c r="A31" s="41" t="n"/>
      <c r="B31" s="41" t="n"/>
      <c r="C31" s="41" t="n"/>
      <c r="D31" s="41" t="n"/>
      <c r="E31" s="41" t="n"/>
      <c r="F31" s="41" t="n"/>
    </row>
    <row r="32" ht="15.75" customHeight="1" s="119">
      <c r="A32" s="41" t="n"/>
      <c r="B32" s="41" t="n"/>
      <c r="C32" s="41" t="n"/>
      <c r="D32" s="41" t="n"/>
      <c r="E32" s="41" t="n"/>
      <c r="F32" s="41" t="n"/>
    </row>
    <row r="33" ht="15.75" customHeight="1" s="119">
      <c r="A33" s="41" t="n"/>
      <c r="B33" s="41" t="n"/>
      <c r="C33" s="41" t="n"/>
      <c r="D33" s="41" t="n"/>
      <c r="E33" s="41" t="n"/>
      <c r="F33" s="41" t="n"/>
    </row>
    <row r="34" ht="15.75" customHeight="1" s="119">
      <c r="A34" s="41" t="n"/>
      <c r="B34" s="41" t="n"/>
      <c r="C34" s="41" t="n"/>
      <c r="D34" s="41" t="n"/>
      <c r="E34" s="41" t="n"/>
      <c r="F34" s="41" t="n"/>
    </row>
    <row r="35" ht="15.75" customHeight="1" s="119">
      <c r="A35" s="41" t="n"/>
      <c r="B35" s="41" t="n"/>
      <c r="C35" s="41" t="n"/>
      <c r="D35" s="41" t="n"/>
      <c r="E35" s="41" t="n"/>
      <c r="F35" s="41" t="n"/>
    </row>
    <row r="36" ht="15.75" customHeight="1" s="119">
      <c r="A36" s="41" t="n"/>
      <c r="B36" s="41" t="n"/>
      <c r="C36" s="41" t="n"/>
      <c r="D36" s="41" t="n"/>
      <c r="E36" s="41" t="n"/>
      <c r="F36" s="41" t="n"/>
    </row>
    <row r="37" ht="15.75" customHeight="1" s="119">
      <c r="A37" s="41" t="n"/>
      <c r="B37" s="41" t="n"/>
      <c r="C37" s="41" t="n"/>
      <c r="D37" s="41" t="n"/>
      <c r="E37" s="41" t="n"/>
      <c r="F37" s="41" t="n"/>
    </row>
    <row r="38" ht="15.75" customHeight="1" s="119">
      <c r="A38" s="41" t="n"/>
      <c r="B38" s="41" t="n"/>
      <c r="C38" s="41" t="n"/>
      <c r="D38" s="41" t="n"/>
      <c r="E38" s="41" t="n"/>
      <c r="F38" s="41" t="n"/>
    </row>
    <row r="39" ht="15.75" customHeight="1" s="119">
      <c r="A39" s="41" t="n"/>
      <c r="B39" s="41" t="n"/>
      <c r="C39" s="41" t="n"/>
      <c r="D39" s="41" t="n"/>
      <c r="E39" s="41" t="n"/>
      <c r="F39" s="41" t="n"/>
    </row>
    <row r="40" ht="15.75" customHeight="1" s="119">
      <c r="A40" s="41" t="n"/>
      <c r="B40" s="41" t="n"/>
      <c r="C40" s="41" t="n"/>
      <c r="D40" s="41" t="n"/>
      <c r="E40" s="41" t="n"/>
      <c r="F40" s="41" t="n"/>
    </row>
    <row r="41" ht="15.75" customHeight="1" s="119">
      <c r="A41" s="41" t="n"/>
      <c r="B41" s="41" t="n"/>
      <c r="C41" s="41" t="n"/>
      <c r="D41" s="41" t="n"/>
      <c r="E41" s="41" t="n"/>
      <c r="F41" s="41" t="n"/>
    </row>
    <row r="42" ht="15.75" customHeight="1" s="119">
      <c r="A42" s="41" t="n"/>
      <c r="B42" s="41" t="n"/>
      <c r="C42" s="41" t="n"/>
      <c r="D42" s="41" t="n"/>
      <c r="E42" s="41" t="n"/>
      <c r="F42" s="41" t="n"/>
    </row>
    <row r="43" ht="15.75" customHeight="1" s="119">
      <c r="A43" s="41" t="n"/>
      <c r="B43" s="41" t="n"/>
      <c r="C43" s="41" t="n"/>
      <c r="D43" s="41" t="n"/>
      <c r="E43" s="41" t="n"/>
      <c r="F43" s="41" t="n"/>
    </row>
    <row r="44" ht="15.75" customHeight="1" s="119">
      <c r="A44" s="41" t="n"/>
      <c r="B44" s="41" t="n"/>
      <c r="C44" s="41" t="n"/>
      <c r="D44" s="41" t="n"/>
      <c r="E44" s="41" t="n"/>
      <c r="F44" s="41" t="n"/>
    </row>
    <row r="45" ht="15.75" customHeight="1" s="119">
      <c r="A45" s="41" t="n"/>
      <c r="B45" s="41" t="n"/>
      <c r="C45" s="41" t="n"/>
      <c r="D45" s="41" t="n"/>
      <c r="E45" s="41" t="n"/>
      <c r="F45" s="41" t="n"/>
    </row>
    <row r="46" ht="15.75" customHeight="1" s="119">
      <c r="A46" s="41" t="n"/>
      <c r="B46" s="41" t="n"/>
      <c r="C46" s="41" t="n"/>
      <c r="D46" s="41" t="n"/>
      <c r="E46" s="41" t="n"/>
      <c r="F46" s="41" t="n"/>
    </row>
    <row r="47" ht="15.75" customHeight="1" s="119">
      <c r="A47" s="41" t="n"/>
      <c r="B47" s="41" t="n"/>
      <c r="C47" s="41" t="n"/>
      <c r="D47" s="41" t="n"/>
      <c r="E47" s="41" t="n"/>
      <c r="F47" s="41" t="n"/>
    </row>
    <row r="48" ht="15.75" customHeight="1" s="119">
      <c r="A48" s="41" t="n"/>
      <c r="B48" s="41" t="n"/>
      <c r="C48" s="41" t="n"/>
      <c r="D48" s="41" t="n"/>
      <c r="E48" s="41" t="n"/>
      <c r="F48" s="41" t="n"/>
    </row>
    <row r="49" ht="15.75" customHeight="1" s="119">
      <c r="A49" s="41" t="n"/>
      <c r="B49" s="41" t="n"/>
      <c r="C49" s="41" t="n"/>
      <c r="D49" s="41" t="n"/>
      <c r="E49" s="41" t="n"/>
      <c r="F49" s="41" t="n"/>
    </row>
    <row r="50" ht="15.75" customHeight="1" s="119">
      <c r="A50" s="41" t="n"/>
      <c r="B50" s="41" t="n"/>
      <c r="C50" s="41" t="n"/>
      <c r="D50" s="41" t="n"/>
      <c r="E50" s="41" t="n"/>
      <c r="F50" s="41" t="n"/>
    </row>
    <row r="51" ht="15.75" customHeight="1" s="119">
      <c r="A51" s="41" t="n"/>
      <c r="B51" s="41" t="n"/>
      <c r="C51" s="41" t="n"/>
      <c r="D51" s="41" t="n"/>
      <c r="E51" s="41" t="n"/>
      <c r="F51" s="41" t="n"/>
    </row>
    <row r="52" ht="15.75" customHeight="1" s="119">
      <c r="A52" s="41" t="n"/>
      <c r="B52" s="41" t="n"/>
      <c r="C52" s="41" t="n"/>
      <c r="D52" s="41" t="n"/>
      <c r="E52" s="41" t="n"/>
      <c r="F52" s="41" t="n"/>
    </row>
    <row r="53" ht="15.75" customHeight="1" s="119">
      <c r="A53" s="41" t="n"/>
      <c r="B53" s="41" t="n"/>
      <c r="C53" s="41" t="n"/>
      <c r="D53" s="41" t="n"/>
      <c r="E53" s="41" t="n"/>
      <c r="F53" s="41" t="n"/>
    </row>
    <row r="54" ht="15.75" customHeight="1" s="119">
      <c r="A54" s="41" t="n"/>
      <c r="B54" s="41" t="n"/>
      <c r="C54" s="41" t="n"/>
      <c r="D54" s="41" t="n"/>
      <c r="E54" s="41" t="n"/>
      <c r="F54" s="41" t="n"/>
    </row>
    <row r="55" ht="15.75" customHeight="1" s="119">
      <c r="A55" s="41" t="n"/>
      <c r="B55" s="41" t="n"/>
      <c r="C55" s="41" t="n"/>
      <c r="D55" s="41" t="n"/>
      <c r="E55" s="41" t="n"/>
      <c r="F55" s="41" t="n"/>
    </row>
    <row r="56" ht="15.75" customHeight="1" s="119">
      <c r="A56" s="41" t="n"/>
      <c r="B56" s="41" t="n"/>
      <c r="C56" s="41" t="n"/>
      <c r="D56" s="41" t="n"/>
      <c r="E56" s="41" t="n"/>
      <c r="F56" s="41" t="n"/>
    </row>
    <row r="57" ht="15.75" customHeight="1" s="119">
      <c r="A57" s="41" t="n"/>
      <c r="B57" s="41" t="n"/>
      <c r="C57" s="41" t="n"/>
      <c r="D57" s="41" t="n"/>
      <c r="E57" s="41" t="n"/>
      <c r="F57" s="41" t="n"/>
    </row>
    <row r="58" ht="15.75" customHeight="1" s="119">
      <c r="A58" s="41" t="n"/>
      <c r="B58" s="41" t="n"/>
      <c r="C58" s="41" t="n"/>
      <c r="D58" s="41" t="n"/>
      <c r="E58" s="41" t="n"/>
      <c r="F58" s="41" t="n"/>
    </row>
    <row r="59" ht="15.75" customHeight="1" s="119">
      <c r="A59" s="41" t="n"/>
      <c r="B59" s="41" t="n"/>
      <c r="C59" s="41" t="n"/>
      <c r="D59" s="41" t="n"/>
      <c r="E59" s="41" t="n"/>
      <c r="F59" s="41" t="n"/>
    </row>
    <row r="60" ht="15.75" customHeight="1" s="119">
      <c r="A60" s="41" t="n"/>
      <c r="B60" s="41" t="n"/>
      <c r="C60" s="41" t="n"/>
      <c r="D60" s="41" t="n"/>
      <c r="E60" s="41" t="n"/>
      <c r="F60" s="41" t="n"/>
    </row>
    <row r="61" ht="15.75" customHeight="1" s="119">
      <c r="A61" s="41" t="n"/>
      <c r="B61" s="41" t="n"/>
      <c r="C61" s="41" t="n"/>
      <c r="D61" s="41" t="n"/>
      <c r="E61" s="41" t="n"/>
      <c r="F61" s="41" t="n"/>
    </row>
    <row r="62" ht="15.75" customHeight="1" s="119">
      <c r="A62" s="41" t="n"/>
      <c r="B62" s="41" t="n"/>
      <c r="C62" s="41" t="n"/>
      <c r="D62" s="41" t="n"/>
      <c r="E62" s="41" t="n"/>
      <c r="F62" s="41" t="n"/>
    </row>
    <row r="63" ht="15.75" customHeight="1" s="119">
      <c r="A63" s="41" t="n"/>
      <c r="B63" s="41" t="n"/>
      <c r="C63" s="41" t="n"/>
      <c r="D63" s="41" t="n"/>
      <c r="E63" s="41" t="n"/>
      <c r="F63" s="41" t="n"/>
    </row>
    <row r="64" ht="15.75" customHeight="1" s="119">
      <c r="A64" s="41" t="n"/>
      <c r="B64" s="41" t="n"/>
      <c r="C64" s="41" t="n"/>
      <c r="D64" s="41" t="n"/>
      <c r="E64" s="41" t="n"/>
      <c r="F64" s="41" t="n"/>
    </row>
    <row r="65" ht="15.75" customHeight="1" s="119">
      <c r="A65" s="41" t="n"/>
      <c r="B65" s="41" t="n"/>
      <c r="C65" s="41" t="n"/>
      <c r="D65" s="41" t="n"/>
      <c r="E65" s="41" t="n"/>
      <c r="F65" s="41" t="n"/>
    </row>
    <row r="66" ht="15.75" customHeight="1" s="119">
      <c r="A66" s="41" t="n"/>
      <c r="B66" s="41" t="n"/>
      <c r="C66" s="41" t="n"/>
      <c r="D66" s="41" t="n"/>
      <c r="E66" s="41" t="n"/>
      <c r="F66" s="41" t="n"/>
    </row>
    <row r="67" ht="15.75" customHeight="1" s="119">
      <c r="A67" s="41" t="n"/>
      <c r="B67" s="41" t="n"/>
      <c r="C67" s="41" t="n"/>
      <c r="D67" s="41" t="n"/>
      <c r="E67" s="41" t="n"/>
      <c r="F67" s="41" t="n"/>
    </row>
    <row r="68" ht="15.75" customHeight="1" s="119">
      <c r="A68" s="41" t="n"/>
      <c r="B68" s="41" t="n"/>
      <c r="C68" s="41" t="n"/>
      <c r="D68" s="41" t="n"/>
      <c r="E68" s="41" t="n"/>
      <c r="F68" s="41" t="n"/>
    </row>
    <row r="69" ht="15.75" customHeight="1" s="119">
      <c r="A69" s="41" t="n"/>
      <c r="B69" s="41" t="n"/>
      <c r="C69" s="41" t="n"/>
      <c r="D69" s="41" t="n"/>
      <c r="E69" s="41" t="n"/>
      <c r="F69" s="41" t="n"/>
    </row>
    <row r="70" ht="15.75" customHeight="1" s="119">
      <c r="A70" s="41" t="n"/>
      <c r="B70" s="41" t="n"/>
      <c r="C70" s="41" t="n"/>
      <c r="D70" s="41" t="n"/>
      <c r="E70" s="41" t="n"/>
      <c r="F70" s="41" t="n"/>
    </row>
    <row r="71" ht="15.75" customHeight="1" s="119">
      <c r="A71" s="41" t="n"/>
      <c r="B71" s="41" t="n"/>
      <c r="C71" s="41" t="n"/>
      <c r="D71" s="41" t="n"/>
      <c r="E71" s="41" t="n"/>
      <c r="F71" s="41" t="n"/>
    </row>
    <row r="72" ht="15.75" customHeight="1" s="119">
      <c r="A72" s="41" t="n"/>
      <c r="B72" s="41" t="n"/>
      <c r="C72" s="41" t="n"/>
      <c r="D72" s="41" t="n"/>
      <c r="E72" s="41" t="n"/>
      <c r="F72" s="41" t="n"/>
    </row>
    <row r="73" ht="15.75" customHeight="1" s="119">
      <c r="A73" s="41" t="n"/>
      <c r="B73" s="41" t="n"/>
      <c r="C73" s="41" t="n"/>
      <c r="D73" s="41" t="n"/>
      <c r="E73" s="41" t="n"/>
      <c r="F73" s="41" t="n"/>
    </row>
    <row r="74" ht="15.75" customHeight="1" s="119">
      <c r="A74" s="41" t="n"/>
      <c r="B74" s="41" t="n"/>
      <c r="C74" s="41" t="n"/>
      <c r="D74" s="41" t="n"/>
      <c r="E74" s="41" t="n"/>
      <c r="F74" s="41" t="n"/>
    </row>
    <row r="75" ht="15.75" customHeight="1" s="119">
      <c r="A75" s="41" t="n"/>
      <c r="B75" s="41" t="n"/>
      <c r="C75" s="41" t="n"/>
      <c r="D75" s="41" t="n"/>
      <c r="E75" s="41" t="n"/>
      <c r="F75" s="41" t="n"/>
    </row>
    <row r="76" ht="15.75" customHeight="1" s="119">
      <c r="A76" s="41" t="n"/>
      <c r="B76" s="41" t="n"/>
      <c r="C76" s="41" t="n"/>
      <c r="D76" s="41" t="n"/>
      <c r="E76" s="41" t="n"/>
      <c r="F76" s="41" t="n"/>
    </row>
    <row r="77" ht="15.75" customHeight="1" s="119">
      <c r="A77" s="41" t="n"/>
      <c r="B77" s="41" t="n"/>
      <c r="C77" s="41" t="n"/>
      <c r="D77" s="41" t="n"/>
      <c r="E77" s="41" t="n"/>
      <c r="F77" s="41" t="n"/>
    </row>
    <row r="78" ht="15.75" customHeight="1" s="119">
      <c r="A78" s="41" t="n"/>
      <c r="B78" s="41" t="n"/>
      <c r="C78" s="41" t="n"/>
      <c r="D78" s="41" t="n"/>
      <c r="E78" s="41" t="n"/>
      <c r="F78" s="41" t="n"/>
    </row>
    <row r="79" ht="15.75" customHeight="1" s="119">
      <c r="A79" s="41" t="n"/>
      <c r="B79" s="41" t="n"/>
      <c r="C79" s="41" t="n"/>
      <c r="D79" s="41" t="n"/>
      <c r="E79" s="41" t="n"/>
      <c r="F79" s="41" t="n"/>
    </row>
    <row r="80" ht="15.75" customHeight="1" s="119">
      <c r="A80" s="41" t="n"/>
      <c r="B80" s="41" t="n"/>
      <c r="C80" s="41" t="n"/>
      <c r="D80" s="41" t="n"/>
      <c r="E80" s="41" t="n"/>
      <c r="F80" s="41" t="n"/>
    </row>
    <row r="81" ht="15.75" customHeight="1" s="119">
      <c r="A81" s="41" t="n"/>
      <c r="B81" s="41" t="n"/>
      <c r="C81" s="41" t="n"/>
      <c r="D81" s="41" t="n"/>
      <c r="E81" s="41" t="n"/>
      <c r="F81" s="41" t="n"/>
    </row>
    <row r="82" ht="15.75" customHeight="1" s="119">
      <c r="A82" s="41" t="n"/>
      <c r="B82" s="41" t="n"/>
      <c r="C82" s="41" t="n"/>
      <c r="D82" s="41" t="n"/>
      <c r="E82" s="41" t="n"/>
      <c r="F82" s="41" t="n"/>
    </row>
    <row r="83" ht="15.75" customHeight="1" s="119">
      <c r="A83" s="41" t="n"/>
      <c r="B83" s="41" t="n"/>
      <c r="C83" s="41" t="n"/>
      <c r="D83" s="41" t="n"/>
      <c r="E83" s="41" t="n"/>
      <c r="F83" s="41" t="n"/>
    </row>
    <row r="84" ht="15.75" customHeight="1" s="119">
      <c r="A84" s="41" t="n"/>
      <c r="B84" s="41" t="n"/>
      <c r="C84" s="41" t="n"/>
      <c r="D84" s="41" t="n"/>
      <c r="E84" s="41" t="n"/>
      <c r="F84" s="41" t="n"/>
    </row>
    <row r="85" ht="15.75" customHeight="1" s="119">
      <c r="A85" s="41" t="n"/>
      <c r="B85" s="41" t="n"/>
      <c r="C85" s="41" t="n"/>
      <c r="D85" s="41" t="n"/>
      <c r="E85" s="41" t="n"/>
      <c r="F85" s="41" t="n"/>
    </row>
    <row r="86" ht="15.75" customHeight="1" s="119">
      <c r="A86" s="41" t="n"/>
      <c r="B86" s="41" t="n"/>
      <c r="C86" s="41" t="n"/>
      <c r="D86" s="41" t="n"/>
      <c r="E86" s="41" t="n"/>
      <c r="F86" s="41" t="n"/>
    </row>
    <row r="87" ht="15.75" customHeight="1" s="119">
      <c r="A87" s="41" t="n"/>
      <c r="B87" s="41" t="n"/>
      <c r="C87" s="41" t="n"/>
      <c r="D87" s="41" t="n"/>
      <c r="E87" s="41" t="n"/>
      <c r="F87" s="41" t="n"/>
    </row>
    <row r="88" ht="15.75" customHeight="1" s="119">
      <c r="A88" s="41" t="n"/>
      <c r="B88" s="41" t="n"/>
      <c r="C88" s="41" t="n"/>
      <c r="D88" s="41" t="n"/>
      <c r="E88" s="41" t="n"/>
      <c r="F88" s="41" t="n"/>
    </row>
    <row r="89" ht="15.75" customHeight="1" s="119">
      <c r="A89" s="41" t="n"/>
      <c r="B89" s="41" t="n"/>
      <c r="C89" s="41" t="n"/>
      <c r="D89" s="41" t="n"/>
      <c r="E89" s="41" t="n"/>
      <c r="F89" s="41" t="n"/>
    </row>
    <row r="90" ht="15.75" customHeight="1" s="119">
      <c r="A90" s="41" t="n"/>
      <c r="B90" s="41" t="n"/>
      <c r="C90" s="41" t="n"/>
      <c r="D90" s="41" t="n"/>
      <c r="E90" s="41" t="n"/>
      <c r="F90" s="41" t="n"/>
    </row>
    <row r="91" ht="15.75" customHeight="1" s="119">
      <c r="A91" s="41" t="n"/>
      <c r="B91" s="41" t="n"/>
      <c r="C91" s="41" t="n"/>
      <c r="D91" s="41" t="n"/>
      <c r="E91" s="41" t="n"/>
      <c r="F91" s="41" t="n"/>
    </row>
    <row r="92" ht="15.75" customHeight="1" s="119">
      <c r="A92" s="41" t="n"/>
      <c r="B92" s="41" t="n"/>
      <c r="C92" s="41" t="n"/>
      <c r="D92" s="41" t="n"/>
      <c r="E92" s="41" t="n"/>
      <c r="F92" s="41" t="n"/>
    </row>
    <row r="93" ht="15.75" customHeight="1" s="119">
      <c r="A93" s="41" t="n"/>
      <c r="B93" s="41" t="n"/>
      <c r="C93" s="41" t="n"/>
      <c r="D93" s="41" t="n"/>
      <c r="E93" s="41" t="n"/>
      <c r="F93" s="41" t="n"/>
    </row>
    <row r="94" ht="15.75" customHeight="1" s="119">
      <c r="A94" s="41" t="n"/>
      <c r="B94" s="41" t="n"/>
      <c r="C94" s="41" t="n"/>
      <c r="D94" s="41" t="n"/>
      <c r="E94" s="41" t="n"/>
      <c r="F94" s="41" t="n"/>
    </row>
    <row r="95" ht="15.75" customHeight="1" s="119">
      <c r="A95" s="41" t="n"/>
      <c r="B95" s="41" t="n"/>
      <c r="C95" s="41" t="n"/>
      <c r="D95" s="41" t="n"/>
      <c r="E95" s="41" t="n"/>
      <c r="F95" s="41" t="n"/>
    </row>
    <row r="96" ht="15.75" customHeight="1" s="119">
      <c r="A96" s="41" t="n"/>
      <c r="B96" s="41" t="n"/>
      <c r="C96" s="41" t="n"/>
      <c r="D96" s="41" t="n"/>
      <c r="E96" s="41" t="n"/>
      <c r="F96" s="41" t="n"/>
    </row>
    <row r="97" ht="15.75" customHeight="1" s="119">
      <c r="A97" s="41" t="n"/>
      <c r="B97" s="41" t="n"/>
      <c r="C97" s="41" t="n"/>
      <c r="D97" s="41" t="n"/>
      <c r="E97" s="41" t="n"/>
      <c r="F97" s="41" t="n"/>
    </row>
    <row r="98" ht="15.75" customHeight="1" s="119">
      <c r="A98" s="41" t="n"/>
      <c r="B98" s="41" t="n"/>
      <c r="C98" s="41" t="n"/>
      <c r="D98" s="41" t="n"/>
      <c r="E98" s="41" t="n"/>
      <c r="F98" s="41" t="n"/>
    </row>
    <row r="99" ht="15.75" customHeight="1" s="119">
      <c r="A99" s="41" t="n"/>
      <c r="B99" s="41" t="n"/>
      <c r="C99" s="41" t="n"/>
      <c r="D99" s="41" t="n"/>
      <c r="E99" s="41" t="n"/>
      <c r="F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</row>
  </sheetData>
  <mergeCells count="2">
    <mergeCell ref="A2:F2"/>
    <mergeCell ref="A1:F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8" customWidth="1" style="119" min="1" max="1"/>
    <col width="10" customWidth="1" style="119" min="2" max="4"/>
    <col width="23" customWidth="1" style="119" min="4" max="4"/>
    <col width="11" customWidth="1" style="119" min="5" max="5"/>
    <col width="3" customWidth="1" style="119" min="6" max="6"/>
    <col width="8.710000000000001" customWidth="1" style="119" min="7" max="26"/>
  </cols>
  <sheetData>
    <row r="1" ht="24" customHeight="1" s="119">
      <c r="A1" s="113" t="inlineStr">
        <is>
          <t>CMDC Positive F1 Comparison</t>
        </is>
      </c>
    </row>
    <row r="2" ht="21.75" customHeight="1" s="119">
      <c r="A2" s="114" t="inlineStr">
        <is>
          <t>Comparable Qwen, LogReg, and best protocol-valid XGBoost Optuna results</t>
        </is>
      </c>
    </row>
    <row r="3">
      <c r="A3" s="41" t="n"/>
      <c r="B3" s="41" t="n"/>
      <c r="C3" s="41" t="n"/>
      <c r="D3" s="41" t="n"/>
      <c r="E3" s="41" t="n"/>
      <c r="F3" s="41" t="n"/>
    </row>
    <row r="4">
      <c r="A4" s="115" t="inlineStr">
        <is>
          <t>Modality</t>
        </is>
      </c>
      <c r="B4" s="115" t="inlineStr">
        <is>
          <t>Qwen</t>
        </is>
      </c>
      <c r="C4" s="115" t="inlineStr">
        <is>
          <t>LogReg</t>
        </is>
      </c>
      <c r="D4" s="115" t="inlineStr">
        <is>
          <t>Best XGBoost Optuna</t>
        </is>
      </c>
      <c r="E4" s="115" t="n"/>
      <c r="F4" s="41" t="n"/>
    </row>
    <row r="5">
      <c r="A5" s="116" t="inlineStr">
        <is>
          <t>Audio + Text</t>
        </is>
      </c>
      <c r="B5" s="117" t="n">
        <v>0.896</v>
      </c>
      <c r="C5" s="118" t="n">
        <v>0.980392</v>
      </c>
      <c r="D5" s="118" t="n">
        <v>0.980392</v>
      </c>
      <c r="E5" s="117" t="n"/>
      <c r="F5" s="41" t="n"/>
    </row>
    <row r="6">
      <c r="A6" s="116" t="inlineStr">
        <is>
          <t>Audio only</t>
        </is>
      </c>
      <c r="B6" s="117" t="n">
        <v>0.918</v>
      </c>
      <c r="C6" s="118" t="n">
        <v>0.980392</v>
      </c>
      <c r="D6" s="118" t="n">
        <v>0.980392</v>
      </c>
      <c r="E6" s="117" t="n"/>
      <c r="F6" s="41" t="n"/>
    </row>
    <row r="7">
      <c r="A7" s="116" t="inlineStr">
        <is>
          <t>Text only</t>
        </is>
      </c>
      <c r="B7" s="117" t="n">
        <v>0.904</v>
      </c>
      <c r="C7" s="118" t="n">
        <v>0.980392</v>
      </c>
      <c r="D7" s="117" t="n">
        <v>0.961538</v>
      </c>
      <c r="E7" s="117" t="n"/>
      <c r="F7" s="41" t="n"/>
    </row>
    <row r="8">
      <c r="A8" s="41" t="n"/>
      <c r="B8" s="41" t="n"/>
      <c r="C8" s="41" t="n"/>
      <c r="D8" s="41" t="n"/>
      <c r="E8" s="41" t="n"/>
      <c r="F8" s="41" t="n"/>
    </row>
    <row r="9">
      <c r="A9" s="41" t="n"/>
      <c r="B9" s="41" t="n"/>
      <c r="C9" s="41" t="n"/>
      <c r="D9" s="41" t="n"/>
      <c r="E9" s="41" t="n"/>
      <c r="F9" s="41" t="n"/>
    </row>
    <row r="10">
      <c r="A10" s="41" t="n"/>
      <c r="B10" s="41" t="n"/>
      <c r="C10" s="41" t="n"/>
      <c r="D10" s="41" t="n"/>
      <c r="E10" s="41" t="n"/>
      <c r="F10" s="41" t="n"/>
    </row>
    <row r="11">
      <c r="A11" s="41" t="n"/>
      <c r="B11" s="41" t="n"/>
      <c r="C11" s="41" t="n"/>
      <c r="D11" s="41" t="n"/>
      <c r="E11" s="41" t="n"/>
      <c r="F11" s="41" t="n"/>
    </row>
    <row r="12">
      <c r="A12" s="41" t="n"/>
      <c r="B12" s="41" t="n"/>
      <c r="C12" s="41" t="n"/>
      <c r="D12" s="41" t="n"/>
      <c r="E12" s="41" t="n"/>
      <c r="F12" s="41" t="n"/>
    </row>
    <row r="13">
      <c r="A13" s="41" t="n"/>
      <c r="B13" s="41" t="n"/>
      <c r="C13" s="41" t="n"/>
      <c r="D13" s="41" t="n"/>
      <c r="E13" s="41" t="n"/>
      <c r="F13" s="41" t="n"/>
    </row>
    <row r="14">
      <c r="A14" s="41" t="n"/>
      <c r="B14" s="41" t="n"/>
      <c r="C14" s="41" t="n"/>
      <c r="D14" s="41" t="n"/>
      <c r="E14" s="41" t="n"/>
      <c r="F14" s="41" t="n"/>
    </row>
    <row r="15">
      <c r="A15" s="41" t="n"/>
      <c r="B15" s="41" t="n"/>
      <c r="C15" s="41" t="n"/>
      <c r="D15" s="41" t="n"/>
      <c r="E15" s="41" t="n"/>
      <c r="F15" s="41" t="n"/>
    </row>
    <row r="16">
      <c r="A16" s="41" t="n"/>
      <c r="B16" s="41" t="n"/>
      <c r="C16" s="41" t="n"/>
      <c r="D16" s="41" t="n"/>
      <c r="E16" s="41" t="n"/>
      <c r="F16" s="41" t="n"/>
    </row>
    <row r="17">
      <c r="A17" s="41" t="n"/>
      <c r="B17" s="41" t="n"/>
      <c r="C17" s="41" t="n"/>
      <c r="D17" s="41" t="n"/>
      <c r="E17" s="41" t="n"/>
      <c r="F17" s="41" t="n"/>
    </row>
    <row r="18">
      <c r="A18" s="41" t="n"/>
      <c r="B18" s="41" t="n"/>
      <c r="C18" s="41" t="n"/>
      <c r="D18" s="41" t="n"/>
      <c r="E18" s="41" t="n"/>
      <c r="F18" s="41" t="n"/>
    </row>
    <row r="19">
      <c r="A19" s="41" t="n"/>
      <c r="B19" s="41" t="n"/>
      <c r="C19" s="41" t="n"/>
      <c r="D19" s="41" t="n"/>
      <c r="E19" s="41" t="n"/>
      <c r="F19" s="41" t="n"/>
    </row>
    <row r="20">
      <c r="A20" s="41" t="n"/>
      <c r="B20" s="41" t="n"/>
      <c r="C20" s="41" t="n"/>
      <c r="D20" s="41" t="n"/>
      <c r="E20" s="41" t="n"/>
      <c r="F20" s="41" t="n"/>
    </row>
    <row r="21" ht="15.75" customHeight="1" s="119">
      <c r="A21" s="41" t="n"/>
      <c r="B21" s="41" t="n"/>
      <c r="C21" s="41" t="n"/>
      <c r="D21" s="41" t="n"/>
      <c r="E21" s="41" t="n"/>
      <c r="F21" s="41" t="n"/>
    </row>
    <row r="22" ht="15.75" customHeight="1" s="119">
      <c r="A22" s="41" t="n"/>
      <c r="B22" s="41" t="n"/>
      <c r="C22" s="41" t="n"/>
      <c r="D22" s="41" t="n"/>
      <c r="E22" s="41" t="n"/>
      <c r="F22" s="41" t="n"/>
    </row>
    <row r="23" ht="15.75" customHeight="1" s="119">
      <c r="A23" s="41" t="n"/>
      <c r="B23" s="41" t="n"/>
      <c r="C23" s="41" t="n"/>
      <c r="D23" s="41" t="n"/>
      <c r="E23" s="41" t="n"/>
      <c r="F23" s="41" t="n"/>
    </row>
    <row r="24" ht="15.75" customHeight="1" s="119">
      <c r="A24" s="41" t="n"/>
      <c r="B24" s="41" t="n"/>
      <c r="C24" s="41" t="n"/>
      <c r="D24" s="41" t="n"/>
      <c r="E24" s="41" t="n"/>
      <c r="F24" s="41" t="n"/>
    </row>
    <row r="25" ht="15.75" customHeight="1" s="119">
      <c r="A25" s="41" t="n"/>
      <c r="B25" s="41" t="n"/>
      <c r="C25" s="41" t="n"/>
      <c r="D25" s="41" t="n"/>
      <c r="E25" s="41" t="n"/>
      <c r="F25" s="41" t="n"/>
    </row>
    <row r="26" ht="15.75" customHeight="1" s="119">
      <c r="A26" s="41" t="n"/>
      <c r="B26" s="41" t="n"/>
      <c r="C26" s="41" t="n"/>
      <c r="D26" s="41" t="n"/>
      <c r="E26" s="41" t="n"/>
      <c r="F26" s="41" t="n"/>
    </row>
    <row r="27" ht="15.75" customHeight="1" s="119">
      <c r="A27" s="41" t="n"/>
      <c r="B27" s="41" t="n"/>
      <c r="C27" s="41" t="n"/>
      <c r="D27" s="41" t="n"/>
      <c r="E27" s="41" t="n"/>
      <c r="F27" s="41" t="n"/>
    </row>
    <row r="28" ht="15.75" customHeight="1" s="119">
      <c r="A28" s="41" t="n"/>
      <c r="B28" s="41" t="n"/>
      <c r="C28" s="41" t="n"/>
      <c r="D28" s="41" t="n"/>
      <c r="E28" s="41" t="n"/>
      <c r="F28" s="41" t="n"/>
    </row>
    <row r="29" ht="15.75" customHeight="1" s="119">
      <c r="A29" s="41" t="n"/>
      <c r="B29" s="41" t="n"/>
      <c r="C29" s="41" t="n"/>
      <c r="D29" s="41" t="n"/>
      <c r="E29" s="41" t="n"/>
      <c r="F29" s="41" t="n"/>
    </row>
    <row r="30" ht="15.75" customHeight="1" s="119">
      <c r="A30" s="41" t="n"/>
      <c r="B30" s="41" t="n"/>
      <c r="C30" s="41" t="n"/>
      <c r="D30" s="41" t="n"/>
      <c r="E30" s="41" t="n"/>
      <c r="F30" s="41" t="n"/>
    </row>
    <row r="31" ht="15.75" customHeight="1" s="119">
      <c r="A31" s="41" t="n"/>
      <c r="B31" s="41" t="n"/>
      <c r="C31" s="41" t="n"/>
      <c r="D31" s="41" t="n"/>
      <c r="E31" s="41" t="n"/>
      <c r="F31" s="41" t="n"/>
    </row>
    <row r="32" ht="15.75" customHeight="1" s="119">
      <c r="A32" s="41" t="n"/>
      <c r="B32" s="41" t="n"/>
      <c r="C32" s="41" t="n"/>
      <c r="D32" s="41" t="n"/>
      <c r="E32" s="41" t="n"/>
      <c r="F32" s="41" t="n"/>
    </row>
    <row r="33" ht="15.75" customHeight="1" s="119">
      <c r="A33" s="41" t="n"/>
      <c r="B33" s="41" t="n"/>
      <c r="C33" s="41" t="n"/>
      <c r="D33" s="41" t="n"/>
      <c r="E33" s="41" t="n"/>
      <c r="F33" s="41" t="n"/>
    </row>
    <row r="34" ht="15.75" customHeight="1" s="119">
      <c r="A34" s="41" t="n"/>
      <c r="B34" s="41" t="n"/>
      <c r="C34" s="41" t="n"/>
      <c r="D34" s="41" t="n"/>
      <c r="E34" s="41" t="n"/>
      <c r="F34" s="41" t="n"/>
    </row>
    <row r="35" ht="15.75" customHeight="1" s="119">
      <c r="A35" s="41" t="n"/>
      <c r="B35" s="41" t="n"/>
      <c r="C35" s="41" t="n"/>
      <c r="D35" s="41" t="n"/>
      <c r="E35" s="41" t="n"/>
      <c r="F35" s="41" t="n"/>
    </row>
    <row r="36" ht="15.75" customHeight="1" s="119">
      <c r="A36" s="41" t="n"/>
      <c r="B36" s="41" t="n"/>
      <c r="C36" s="41" t="n"/>
      <c r="D36" s="41" t="n"/>
      <c r="E36" s="41" t="n"/>
      <c r="F36" s="41" t="n"/>
    </row>
    <row r="37" ht="15.75" customHeight="1" s="119">
      <c r="A37" s="41" t="n"/>
      <c r="B37" s="41" t="n"/>
      <c r="C37" s="41" t="n"/>
      <c r="D37" s="41" t="n"/>
      <c r="E37" s="41" t="n"/>
      <c r="F37" s="41" t="n"/>
    </row>
    <row r="38" ht="15.75" customHeight="1" s="119">
      <c r="A38" s="41" t="n"/>
      <c r="B38" s="41" t="n"/>
      <c r="C38" s="41" t="n"/>
      <c r="D38" s="41" t="n"/>
      <c r="E38" s="41" t="n"/>
      <c r="F38" s="41" t="n"/>
    </row>
    <row r="39" ht="15.75" customHeight="1" s="119">
      <c r="A39" s="41" t="n"/>
      <c r="B39" s="41" t="n"/>
      <c r="C39" s="41" t="n"/>
      <c r="D39" s="41" t="n"/>
      <c r="E39" s="41" t="n"/>
      <c r="F39" s="41" t="n"/>
    </row>
    <row r="40" ht="15.75" customHeight="1" s="119">
      <c r="A40" s="41" t="n"/>
      <c r="B40" s="41" t="n"/>
      <c r="C40" s="41" t="n"/>
      <c r="D40" s="41" t="n"/>
      <c r="E40" s="41" t="n"/>
      <c r="F40" s="41" t="n"/>
    </row>
    <row r="41" ht="15.75" customHeight="1" s="119">
      <c r="A41" s="41" t="n"/>
      <c r="B41" s="41" t="n"/>
      <c r="C41" s="41" t="n"/>
      <c r="D41" s="41" t="n"/>
      <c r="E41" s="41" t="n"/>
      <c r="F41" s="41" t="n"/>
    </row>
    <row r="42" ht="15.75" customHeight="1" s="119">
      <c r="A42" s="41" t="n"/>
      <c r="B42" s="41" t="n"/>
      <c r="C42" s="41" t="n"/>
      <c r="D42" s="41" t="n"/>
      <c r="E42" s="41" t="n"/>
      <c r="F42" s="41" t="n"/>
    </row>
    <row r="43" ht="15.75" customHeight="1" s="119">
      <c r="A43" s="41" t="n"/>
      <c r="B43" s="41" t="n"/>
      <c r="C43" s="41" t="n"/>
      <c r="D43" s="41" t="n"/>
      <c r="E43" s="41" t="n"/>
      <c r="F43" s="41" t="n"/>
    </row>
    <row r="44" ht="15.75" customHeight="1" s="119">
      <c r="A44" s="41" t="n"/>
      <c r="B44" s="41" t="n"/>
      <c r="C44" s="41" t="n"/>
      <c r="D44" s="41" t="n"/>
      <c r="E44" s="41" t="n"/>
      <c r="F44" s="41" t="n"/>
    </row>
    <row r="45" ht="15.75" customHeight="1" s="119">
      <c r="A45" s="41" t="n"/>
      <c r="B45" s="41" t="n"/>
      <c r="C45" s="41" t="n"/>
      <c r="D45" s="41" t="n"/>
      <c r="E45" s="41" t="n"/>
      <c r="F45" s="41" t="n"/>
    </row>
    <row r="46" ht="15.75" customHeight="1" s="119">
      <c r="A46" s="41" t="n"/>
      <c r="B46" s="41" t="n"/>
      <c r="C46" s="41" t="n"/>
      <c r="D46" s="41" t="n"/>
      <c r="E46" s="41" t="n"/>
      <c r="F46" s="41" t="n"/>
    </row>
    <row r="47" ht="15.75" customHeight="1" s="119">
      <c r="A47" s="41" t="n"/>
      <c r="B47" s="41" t="n"/>
      <c r="C47" s="41" t="n"/>
      <c r="D47" s="41" t="n"/>
      <c r="E47" s="41" t="n"/>
      <c r="F47" s="41" t="n"/>
    </row>
    <row r="48" ht="15.75" customHeight="1" s="119">
      <c r="A48" s="41" t="n"/>
      <c r="B48" s="41" t="n"/>
      <c r="C48" s="41" t="n"/>
      <c r="D48" s="41" t="n"/>
      <c r="E48" s="41" t="n"/>
      <c r="F48" s="41" t="n"/>
    </row>
    <row r="49" ht="15.75" customHeight="1" s="119">
      <c r="A49" s="41" t="n"/>
      <c r="B49" s="41" t="n"/>
      <c r="C49" s="41" t="n"/>
      <c r="D49" s="41" t="n"/>
      <c r="E49" s="41" t="n"/>
      <c r="F49" s="41" t="n"/>
    </row>
    <row r="50" ht="15.75" customHeight="1" s="119">
      <c r="A50" s="41" t="n"/>
      <c r="B50" s="41" t="n"/>
      <c r="C50" s="41" t="n"/>
      <c r="D50" s="41" t="n"/>
      <c r="E50" s="41" t="n"/>
      <c r="F50" s="41" t="n"/>
    </row>
    <row r="51" ht="15.75" customHeight="1" s="119">
      <c r="A51" s="41" t="n"/>
      <c r="B51" s="41" t="n"/>
      <c r="C51" s="41" t="n"/>
      <c r="D51" s="41" t="n"/>
      <c r="E51" s="41" t="n"/>
      <c r="F51" s="41" t="n"/>
    </row>
    <row r="52" ht="15.75" customHeight="1" s="119">
      <c r="A52" s="41" t="n"/>
      <c r="B52" s="41" t="n"/>
      <c r="C52" s="41" t="n"/>
      <c r="D52" s="41" t="n"/>
      <c r="E52" s="41" t="n"/>
      <c r="F52" s="41" t="n"/>
    </row>
    <row r="53" ht="15.75" customHeight="1" s="119">
      <c r="A53" s="41" t="n"/>
      <c r="B53" s="41" t="n"/>
      <c r="C53" s="41" t="n"/>
      <c r="D53" s="41" t="n"/>
      <c r="E53" s="41" t="n"/>
      <c r="F53" s="41" t="n"/>
    </row>
    <row r="54" ht="15.75" customHeight="1" s="119">
      <c r="A54" s="41" t="n"/>
      <c r="B54" s="41" t="n"/>
      <c r="C54" s="41" t="n"/>
      <c r="D54" s="41" t="n"/>
      <c r="E54" s="41" t="n"/>
      <c r="F54" s="41" t="n"/>
    </row>
    <row r="55" ht="15.75" customHeight="1" s="119">
      <c r="A55" s="41" t="n"/>
      <c r="B55" s="41" t="n"/>
      <c r="C55" s="41" t="n"/>
      <c r="D55" s="41" t="n"/>
      <c r="E55" s="41" t="n"/>
      <c r="F55" s="41" t="n"/>
    </row>
    <row r="56" ht="15.75" customHeight="1" s="119">
      <c r="A56" s="41" t="n"/>
      <c r="B56" s="41" t="n"/>
      <c r="C56" s="41" t="n"/>
      <c r="D56" s="41" t="n"/>
      <c r="E56" s="41" t="n"/>
      <c r="F56" s="41" t="n"/>
    </row>
    <row r="57" ht="15.75" customHeight="1" s="119">
      <c r="A57" s="41" t="n"/>
      <c r="B57" s="41" t="n"/>
      <c r="C57" s="41" t="n"/>
      <c r="D57" s="41" t="n"/>
      <c r="E57" s="41" t="n"/>
      <c r="F57" s="41" t="n"/>
    </row>
    <row r="58" ht="15.75" customHeight="1" s="119">
      <c r="A58" s="41" t="n"/>
      <c r="B58" s="41" t="n"/>
      <c r="C58" s="41" t="n"/>
      <c r="D58" s="41" t="n"/>
      <c r="E58" s="41" t="n"/>
      <c r="F58" s="41" t="n"/>
    </row>
    <row r="59" ht="15.75" customHeight="1" s="119">
      <c r="A59" s="41" t="n"/>
      <c r="B59" s="41" t="n"/>
      <c r="C59" s="41" t="n"/>
      <c r="D59" s="41" t="n"/>
      <c r="E59" s="41" t="n"/>
      <c r="F59" s="41" t="n"/>
    </row>
    <row r="60" ht="15.75" customHeight="1" s="119">
      <c r="A60" s="41" t="n"/>
      <c r="B60" s="41" t="n"/>
      <c r="C60" s="41" t="n"/>
      <c r="D60" s="41" t="n"/>
      <c r="E60" s="41" t="n"/>
      <c r="F60" s="41" t="n"/>
    </row>
    <row r="61" ht="15.75" customHeight="1" s="119">
      <c r="A61" s="41" t="n"/>
      <c r="B61" s="41" t="n"/>
      <c r="C61" s="41" t="n"/>
      <c r="D61" s="41" t="n"/>
      <c r="E61" s="41" t="n"/>
      <c r="F61" s="41" t="n"/>
    </row>
    <row r="62" ht="15.75" customHeight="1" s="119">
      <c r="A62" s="41" t="n"/>
      <c r="B62" s="41" t="n"/>
      <c r="C62" s="41" t="n"/>
      <c r="D62" s="41" t="n"/>
      <c r="E62" s="41" t="n"/>
      <c r="F62" s="41" t="n"/>
    </row>
    <row r="63" ht="15.75" customHeight="1" s="119">
      <c r="A63" s="41" t="n"/>
      <c r="B63" s="41" t="n"/>
      <c r="C63" s="41" t="n"/>
      <c r="D63" s="41" t="n"/>
      <c r="E63" s="41" t="n"/>
      <c r="F63" s="41" t="n"/>
    </row>
    <row r="64" ht="15.75" customHeight="1" s="119">
      <c r="A64" s="41" t="n"/>
      <c r="B64" s="41" t="n"/>
      <c r="C64" s="41" t="n"/>
      <c r="D64" s="41" t="n"/>
      <c r="E64" s="41" t="n"/>
      <c r="F64" s="41" t="n"/>
    </row>
    <row r="65" ht="15.75" customHeight="1" s="119">
      <c r="A65" s="41" t="n"/>
      <c r="B65" s="41" t="n"/>
      <c r="C65" s="41" t="n"/>
      <c r="D65" s="41" t="n"/>
      <c r="E65" s="41" t="n"/>
      <c r="F65" s="41" t="n"/>
    </row>
    <row r="66" ht="15.75" customHeight="1" s="119">
      <c r="A66" s="41" t="n"/>
      <c r="B66" s="41" t="n"/>
      <c r="C66" s="41" t="n"/>
      <c r="D66" s="41" t="n"/>
      <c r="E66" s="41" t="n"/>
      <c r="F66" s="41" t="n"/>
    </row>
    <row r="67" ht="15.75" customHeight="1" s="119">
      <c r="A67" s="41" t="n"/>
      <c r="B67" s="41" t="n"/>
      <c r="C67" s="41" t="n"/>
      <c r="D67" s="41" t="n"/>
      <c r="E67" s="41" t="n"/>
      <c r="F67" s="41" t="n"/>
    </row>
    <row r="68" ht="15.75" customHeight="1" s="119">
      <c r="A68" s="41" t="n"/>
      <c r="B68" s="41" t="n"/>
      <c r="C68" s="41" t="n"/>
      <c r="D68" s="41" t="n"/>
      <c r="E68" s="41" t="n"/>
      <c r="F68" s="41" t="n"/>
    </row>
    <row r="69" ht="15.75" customHeight="1" s="119">
      <c r="A69" s="41" t="n"/>
      <c r="B69" s="41" t="n"/>
      <c r="C69" s="41" t="n"/>
      <c r="D69" s="41" t="n"/>
      <c r="E69" s="41" t="n"/>
      <c r="F69" s="41" t="n"/>
    </row>
    <row r="70" ht="15.75" customHeight="1" s="119">
      <c r="A70" s="41" t="n"/>
      <c r="B70" s="41" t="n"/>
      <c r="C70" s="41" t="n"/>
      <c r="D70" s="41" t="n"/>
      <c r="E70" s="41" t="n"/>
      <c r="F70" s="41" t="n"/>
    </row>
    <row r="71" ht="15.75" customHeight="1" s="119">
      <c r="A71" s="41" t="n"/>
      <c r="B71" s="41" t="n"/>
      <c r="C71" s="41" t="n"/>
      <c r="D71" s="41" t="n"/>
      <c r="E71" s="41" t="n"/>
      <c r="F71" s="41" t="n"/>
    </row>
    <row r="72" ht="15.75" customHeight="1" s="119">
      <c r="A72" s="41" t="n"/>
      <c r="B72" s="41" t="n"/>
      <c r="C72" s="41" t="n"/>
      <c r="D72" s="41" t="n"/>
      <c r="E72" s="41" t="n"/>
      <c r="F72" s="41" t="n"/>
    </row>
    <row r="73" ht="15.75" customHeight="1" s="119">
      <c r="A73" s="41" t="n"/>
      <c r="B73" s="41" t="n"/>
      <c r="C73" s="41" t="n"/>
      <c r="D73" s="41" t="n"/>
      <c r="E73" s="41" t="n"/>
      <c r="F73" s="41" t="n"/>
    </row>
    <row r="74" ht="15.75" customHeight="1" s="119">
      <c r="A74" s="41" t="n"/>
      <c r="B74" s="41" t="n"/>
      <c r="C74" s="41" t="n"/>
      <c r="D74" s="41" t="n"/>
      <c r="E74" s="41" t="n"/>
      <c r="F74" s="41" t="n"/>
    </row>
    <row r="75" ht="15.75" customHeight="1" s="119">
      <c r="A75" s="41" t="n"/>
      <c r="B75" s="41" t="n"/>
      <c r="C75" s="41" t="n"/>
      <c r="D75" s="41" t="n"/>
      <c r="E75" s="41" t="n"/>
      <c r="F75" s="41" t="n"/>
    </row>
    <row r="76" ht="15.75" customHeight="1" s="119">
      <c r="A76" s="41" t="n"/>
      <c r="B76" s="41" t="n"/>
      <c r="C76" s="41" t="n"/>
      <c r="D76" s="41" t="n"/>
      <c r="E76" s="41" t="n"/>
      <c r="F76" s="41" t="n"/>
    </row>
    <row r="77" ht="15.75" customHeight="1" s="119">
      <c r="A77" s="41" t="n"/>
      <c r="B77" s="41" t="n"/>
      <c r="C77" s="41" t="n"/>
      <c r="D77" s="41" t="n"/>
      <c r="E77" s="41" t="n"/>
      <c r="F77" s="41" t="n"/>
    </row>
    <row r="78" ht="15.75" customHeight="1" s="119">
      <c r="A78" s="41" t="n"/>
      <c r="B78" s="41" t="n"/>
      <c r="C78" s="41" t="n"/>
      <c r="D78" s="41" t="n"/>
      <c r="E78" s="41" t="n"/>
      <c r="F78" s="41" t="n"/>
    </row>
    <row r="79" ht="15.75" customHeight="1" s="119">
      <c r="A79" s="41" t="n"/>
      <c r="B79" s="41" t="n"/>
      <c r="C79" s="41" t="n"/>
      <c r="D79" s="41" t="n"/>
      <c r="E79" s="41" t="n"/>
      <c r="F79" s="41" t="n"/>
    </row>
    <row r="80" ht="15.75" customHeight="1" s="119">
      <c r="A80" s="41" t="n"/>
      <c r="B80" s="41" t="n"/>
      <c r="C80" s="41" t="n"/>
      <c r="D80" s="41" t="n"/>
      <c r="E80" s="41" t="n"/>
      <c r="F80" s="41" t="n"/>
    </row>
    <row r="81" ht="15.75" customHeight="1" s="119">
      <c r="A81" s="41" t="n"/>
      <c r="B81" s="41" t="n"/>
      <c r="C81" s="41" t="n"/>
      <c r="D81" s="41" t="n"/>
      <c r="E81" s="41" t="n"/>
      <c r="F81" s="41" t="n"/>
    </row>
    <row r="82" ht="15.75" customHeight="1" s="119">
      <c r="A82" s="41" t="n"/>
      <c r="B82" s="41" t="n"/>
      <c r="C82" s="41" t="n"/>
      <c r="D82" s="41" t="n"/>
      <c r="E82" s="41" t="n"/>
      <c r="F82" s="41" t="n"/>
    </row>
    <row r="83" ht="15.75" customHeight="1" s="119">
      <c r="A83" s="41" t="n"/>
      <c r="B83" s="41" t="n"/>
      <c r="C83" s="41" t="n"/>
      <c r="D83" s="41" t="n"/>
      <c r="E83" s="41" t="n"/>
      <c r="F83" s="41" t="n"/>
    </row>
    <row r="84" ht="15.75" customHeight="1" s="119">
      <c r="A84" s="41" t="n"/>
      <c r="B84" s="41" t="n"/>
      <c r="C84" s="41" t="n"/>
      <c r="D84" s="41" t="n"/>
      <c r="E84" s="41" t="n"/>
      <c r="F84" s="41" t="n"/>
    </row>
    <row r="85" ht="15.75" customHeight="1" s="119">
      <c r="A85" s="41" t="n"/>
      <c r="B85" s="41" t="n"/>
      <c r="C85" s="41" t="n"/>
      <c r="D85" s="41" t="n"/>
      <c r="E85" s="41" t="n"/>
      <c r="F85" s="41" t="n"/>
    </row>
    <row r="86" ht="15.75" customHeight="1" s="119">
      <c r="A86" s="41" t="n"/>
      <c r="B86" s="41" t="n"/>
      <c r="C86" s="41" t="n"/>
      <c r="D86" s="41" t="n"/>
      <c r="E86" s="41" t="n"/>
      <c r="F86" s="41" t="n"/>
    </row>
    <row r="87" ht="15.75" customHeight="1" s="119">
      <c r="A87" s="41" t="n"/>
      <c r="B87" s="41" t="n"/>
      <c r="C87" s="41" t="n"/>
      <c r="D87" s="41" t="n"/>
      <c r="E87" s="41" t="n"/>
      <c r="F87" s="41" t="n"/>
    </row>
    <row r="88" ht="15.75" customHeight="1" s="119">
      <c r="A88" s="41" t="n"/>
      <c r="B88" s="41" t="n"/>
      <c r="C88" s="41" t="n"/>
      <c r="D88" s="41" t="n"/>
      <c r="E88" s="41" t="n"/>
      <c r="F88" s="41" t="n"/>
    </row>
    <row r="89" ht="15.75" customHeight="1" s="119">
      <c r="A89" s="41" t="n"/>
      <c r="B89" s="41" t="n"/>
      <c r="C89" s="41" t="n"/>
      <c r="D89" s="41" t="n"/>
      <c r="E89" s="41" t="n"/>
      <c r="F89" s="41" t="n"/>
    </row>
    <row r="90" ht="15.75" customHeight="1" s="119">
      <c r="A90" s="41" t="n"/>
      <c r="B90" s="41" t="n"/>
      <c r="C90" s="41" t="n"/>
      <c r="D90" s="41" t="n"/>
      <c r="E90" s="41" t="n"/>
      <c r="F90" s="41" t="n"/>
    </row>
    <row r="91" ht="15.75" customHeight="1" s="119">
      <c r="A91" s="41" t="n"/>
      <c r="B91" s="41" t="n"/>
      <c r="C91" s="41" t="n"/>
      <c r="D91" s="41" t="n"/>
      <c r="E91" s="41" t="n"/>
      <c r="F91" s="41" t="n"/>
    </row>
    <row r="92" ht="15.75" customHeight="1" s="119">
      <c r="A92" s="41" t="n"/>
      <c r="B92" s="41" t="n"/>
      <c r="C92" s="41" t="n"/>
      <c r="D92" s="41" t="n"/>
      <c r="E92" s="41" t="n"/>
      <c r="F92" s="41" t="n"/>
    </row>
    <row r="93" ht="15.75" customHeight="1" s="119">
      <c r="A93" s="41" t="n"/>
      <c r="B93" s="41" t="n"/>
      <c r="C93" s="41" t="n"/>
      <c r="D93" s="41" t="n"/>
      <c r="E93" s="41" t="n"/>
      <c r="F93" s="41" t="n"/>
    </row>
    <row r="94" ht="15.75" customHeight="1" s="119">
      <c r="A94" s="41" t="n"/>
      <c r="B94" s="41" t="n"/>
      <c r="C94" s="41" t="n"/>
      <c r="D94" s="41" t="n"/>
      <c r="E94" s="41" t="n"/>
      <c r="F94" s="41" t="n"/>
    </row>
    <row r="95" ht="15.75" customHeight="1" s="119">
      <c r="A95" s="41" t="n"/>
      <c r="B95" s="41" t="n"/>
      <c r="C95" s="41" t="n"/>
      <c r="D95" s="41" t="n"/>
      <c r="E95" s="41" t="n"/>
      <c r="F95" s="41" t="n"/>
    </row>
    <row r="96" ht="15.75" customHeight="1" s="119">
      <c r="A96" s="41" t="n"/>
      <c r="B96" s="41" t="n"/>
      <c r="C96" s="41" t="n"/>
      <c r="D96" s="41" t="n"/>
      <c r="E96" s="41" t="n"/>
      <c r="F96" s="41" t="n"/>
    </row>
    <row r="97" ht="15.75" customHeight="1" s="119">
      <c r="A97" s="41" t="n"/>
      <c r="B97" s="41" t="n"/>
      <c r="C97" s="41" t="n"/>
      <c r="D97" s="41" t="n"/>
      <c r="E97" s="41" t="n"/>
      <c r="F97" s="41" t="n"/>
    </row>
    <row r="98" ht="15.75" customHeight="1" s="119">
      <c r="A98" s="41" t="n"/>
      <c r="B98" s="41" t="n"/>
      <c r="C98" s="41" t="n"/>
      <c r="D98" s="41" t="n"/>
      <c r="E98" s="41" t="n"/>
      <c r="F98" s="41" t="n"/>
    </row>
    <row r="99" ht="15.75" customHeight="1" s="119">
      <c r="A99" s="41" t="n"/>
      <c r="B99" s="41" t="n"/>
      <c r="C99" s="41" t="n"/>
      <c r="D99" s="41" t="n"/>
      <c r="E99" s="41" t="n"/>
      <c r="F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</row>
  </sheetData>
  <mergeCells count="2">
    <mergeCell ref="A2:F2"/>
    <mergeCell ref="A1:F1"/>
  </mergeCells>
  <pageMargins left="0.75" right="0.75" top="1" bottom="1" header="0" footer="0"/>
  <pageSetup orientation="landscape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2026-07-23T08:24:16Z</dcterms:created>
  <dcterms:modified xsi:type="dcterms:W3CDTF">2026-07-24T08:50:14Z</dcterms:modified>
</cp:coreProperties>
</file>