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Results" sheetId="2" state="visible" r:id="rId2"/>
    <sheet xmlns:r="http://schemas.openxmlformats.org/officeDocument/2006/relationships" name="joint" sheetId="3" state="visible" r:id="rId3"/>
    <sheet xmlns:r="http://schemas.openxmlformats.org/officeDocument/2006/relationships" name="XGBoost Head" sheetId="4" state="visible" r:id="rId4"/>
    <sheet xmlns:r="http://schemas.openxmlformats.org/officeDocument/2006/relationships" name="Turkish Oversampling" sheetId="5" state="visible" r:id="rId5"/>
    <sheet xmlns:r="http://schemas.openxmlformats.org/officeDocument/2006/relationships" name="Turkish OS Comparison" sheetId="6" state="visible" r:id="rId6"/>
    <sheet xmlns:r="http://schemas.openxmlformats.org/officeDocument/2006/relationships" name="Combined Results" sheetId="7" state="visible" r:id="rId7"/>
    <sheet xmlns:r="http://schemas.openxmlformats.org/officeDocument/2006/relationships" name="DAIC PosF1 Graph" sheetId="8" state="visible" r:id="rId8"/>
    <sheet xmlns:r="http://schemas.openxmlformats.org/officeDocument/2006/relationships" name="CMDC PosF1 Graph" sheetId="9" state="visible" r:id="rId9"/>
    <sheet xmlns:r="http://schemas.openxmlformats.org/officeDocument/2006/relationships" name="Androids PosF1 Graph" sheetId="10" state="visible" r:id="rId10"/>
  </sheets>
  <definedNames>
    <definedName name="_xlnm._FilterDatabase" localSheetId="0" hidden="1">'Summary'!$A$5:$F$20</definedName>
    <definedName name="_xlnm.Print_Area" localSheetId="0">'Summary'!$A$1:$R$17</definedName>
    <definedName name="_xlnm._FilterDatabase" localSheetId="3" hidden="1">'XGBoost Head'!$A$1:$J$28</definedName>
    <definedName name="_xlnm._FilterDatabase" localSheetId="6" hidden="1">'Combined Results'!$A$4:$M$55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00"/>
  </numFmts>
  <fonts count="39">
    <font>
      <name val="Calibri"/>
      <color theme="1"/>
      <sz val="11"/>
      <scheme val="minor"/>
    </font>
    <font>
      <name val="Arial"/>
      <b val="1"/>
      <color rgb="FFFFFFFF"/>
    </font>
    <font>
      <name val="Arial"/>
      <b val="1"/>
      <color rgb="FFFFFFFF"/>
      <sz val="11"/>
    </font>
    <font>
      <name val="Arial"/>
      <b val="1"/>
      <color theme="1"/>
    </font>
    <font>
      <name val="Arial"/>
      <b val="1"/>
      <color theme="1"/>
      <sz val="11"/>
    </font>
    <font>
      <name val="Arial"/>
      <b val="1"/>
      <color rgb="FFB7472A"/>
      <sz val="11"/>
    </font>
    <font>
      <name val="Arial"/>
      <color theme="1"/>
    </font>
    <font>
      <name val="Calibri"/>
      <b val="1"/>
      <color rgb="FFFFFFFF"/>
      <sz val="16"/>
    </font>
    <font>
      <name val="Arial"/>
      <color rgb="FFB7472A"/>
      <sz val="11"/>
    </font>
    <font>
      <name val="Calibri"/>
      <i val="1"/>
      <color rgb="FF1F1F1F"/>
      <sz val="10"/>
    </font>
    <font>
      <name val="Arial"/>
      <i val="1"/>
      <color rgb="FF5F6368"/>
    </font>
    <font>
      <name val="Calibri"/>
      <color theme="1"/>
      <sz val="11"/>
    </font>
    <font>
      <name val="Aptos"/>
      <b val="1"/>
      <color theme="1"/>
      <sz val="12"/>
    </font>
    <font/>
    <font>
      <name val="Calibri"/>
      <b val="1"/>
      <color rgb="FFFFFFFF"/>
      <sz val="11"/>
    </font>
    <font>
      <name val="Arial"/>
      <b val="1"/>
      <color theme="1"/>
      <sz val="12"/>
    </font>
    <font>
      <name val="Arial"/>
      <color theme="1"/>
      <sz val="11"/>
    </font>
    <font>
      <name val="Calibri"/>
      <b val="1"/>
      <color rgb="FF7F6000"/>
      <sz val="11"/>
    </font>
    <font>
      <name val="Calibri"/>
      <b val="1"/>
      <color rgb="FF006100"/>
      <sz val="11"/>
    </font>
    <font>
      <name val="Aptos"/>
      <b val="1"/>
      <color rgb="FF111111"/>
      <sz val="11"/>
    </font>
    <font>
      <name val="Consolas"/>
      <color theme="1"/>
      <sz val="9"/>
    </font>
    <font>
      <name val="Arial"/>
      <b val="1"/>
      <color rgb="FF111111"/>
      <sz val="11"/>
    </font>
    <font>
      <name val="Calibri"/>
      <b val="1"/>
      <color rgb="FF1F4E78"/>
      <sz val="11"/>
    </font>
    <font>
      <name val="Aptos"/>
      <b val="1"/>
      <color rgb="FFC84524"/>
      <sz val="11"/>
    </font>
    <font>
      <name val="Calibri"/>
      <b val="1"/>
      <color rgb="FF7030A0"/>
      <sz val="11"/>
    </font>
    <font>
      <name val="Calibri"/>
      <b val="1"/>
      <color rgb="FF5F497A"/>
      <sz val="11"/>
    </font>
    <font>
      <name val="Calibri"/>
      <b val="1"/>
      <color rgb="FFC65911"/>
      <sz val="11"/>
    </font>
    <font>
      <name val="Oi"/>
      <b val="1"/>
      <color rgb="FFCE9178"/>
      <sz val="11"/>
    </font>
    <font>
      <name val="Calibri"/>
      <b val="1"/>
      <color rgb="FFFFFFFF"/>
      <sz val="15"/>
      <scheme val="minor"/>
    </font>
    <font>
      <name val="Calibri"/>
      <i val="1"/>
      <color theme="1"/>
      <sz val="10"/>
      <scheme val="minor"/>
    </font>
    <font>
      <name val="Calibri"/>
      <b val="1"/>
      <color rgb="FFFFFFFF"/>
      <scheme val="minor"/>
    </font>
    <font>
      <name val="Calibri"/>
      <b val="1"/>
      <color rgb="FF006100"/>
      <scheme val="minor"/>
    </font>
    <font>
      <name val="Calibri"/>
      <b val="1"/>
      <color rgb="FFFFFFFF"/>
      <sz val="20"/>
    </font>
    <font>
      <name val="Calibri"/>
      <color rgb="FF1F1F1F"/>
      <sz val="10"/>
    </font>
    <font>
      <name val="Calibri"/>
      <b val="1"/>
      <color rgb="FF006100"/>
      <sz val="10"/>
    </font>
    <font>
      <name val="Calibri"/>
      <i val="1"/>
      <color rgb="FF666666"/>
      <sz val="9"/>
    </font>
    <font>
      <b val="1"/>
      <color rgb="00FFFFFF"/>
      <sz val="16"/>
    </font>
    <font>
      <b val="1"/>
      <color rgb="00FFFFFF"/>
    </font>
    <font>
      <b val="1"/>
    </font>
  </fonts>
  <fills count="34">
    <fill>
      <patternFill/>
    </fill>
    <fill>
      <patternFill patternType="lightGray"/>
    </fill>
    <fill>
      <patternFill patternType="solid">
        <fgColor rgb="FF2F2F2F"/>
        <bgColor rgb="FF2F2F2F"/>
      </patternFill>
    </fill>
    <fill>
      <patternFill patternType="solid">
        <fgColor rgb="FFEAF7EC"/>
        <bgColor rgb="FFEAF7EC"/>
      </patternFill>
    </fill>
    <fill>
      <patternFill patternType="solid">
        <fgColor rgb="FFE8EEF7"/>
        <bgColor rgb="FFE8EEF7"/>
      </patternFill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203864"/>
        <bgColor rgb="FF203864"/>
      </patternFill>
    </fill>
    <fill>
      <patternFill patternType="solid">
        <fgColor rgb="FFF3EAF7"/>
        <bgColor rgb="FFF3EAF7"/>
      </patternFill>
    </fill>
    <fill>
      <patternFill patternType="solid">
        <fgColor rgb="FFEAF2F8"/>
        <bgColor rgb="FFEAF2F8"/>
      </patternFill>
    </fill>
    <fill>
      <patternFill patternType="solid">
        <fgColor rgb="FFFDF1E3"/>
        <bgColor rgb="FFFDF1E3"/>
      </patternFill>
    </fill>
    <fill>
      <patternFill patternType="solid">
        <fgColor rgb="FFC6EFCE"/>
        <bgColor rgb="FFC6EFCE"/>
      </patternFill>
    </fill>
    <fill>
      <patternFill patternType="solid">
        <fgColor rgb="FFE7EDF7"/>
        <bgColor rgb="FFE7EDF7"/>
      </patternFill>
    </fill>
    <fill>
      <patternFill patternType="solid">
        <fgColor rgb="FFFCE9F0"/>
        <bgColor rgb="FFFCE9F0"/>
      </patternFill>
    </fill>
    <fill>
      <patternFill patternType="solid">
        <fgColor rgb="FFE4DFEC"/>
        <bgColor rgb="FFE4DFEC"/>
      </patternFill>
    </fill>
    <fill>
      <patternFill patternType="solid">
        <fgColor rgb="FFFCE4D6"/>
        <bgColor rgb="FFFCE4D6"/>
      </patternFill>
    </fill>
    <fill>
      <patternFill patternType="solid">
        <fgColor rgb="FFE8F5E9"/>
        <bgColor rgb="FFE8F5E9"/>
      </patternFill>
    </fill>
    <fill>
      <patternFill patternType="solid">
        <fgColor rgb="FFE8F4EA"/>
        <bgColor rgb="FFE8F4EA"/>
      </patternFill>
    </fill>
    <fill>
      <patternFill patternType="solid">
        <fgColor rgb="FFFFF4E5"/>
        <bgColor rgb="FFFFF4E5"/>
      </patternFill>
    </fill>
    <fill>
      <patternFill patternType="solid">
        <fgColor rgb="FFFCE8E6"/>
        <bgColor rgb="FFFCE8E6"/>
      </patternFill>
    </fill>
    <fill>
      <patternFill patternType="solid">
        <fgColor rgb="FFFFFFFF"/>
        <bgColor rgb="FFFFFFFF"/>
      </patternFill>
    </fill>
    <fill>
      <patternFill patternType="solid">
        <fgColor rgb="FFE7EDF7"/>
      </patternFill>
    </fill>
    <fill>
      <patternFill patternType="solid">
        <fgColor rgb="FFE8F4EA"/>
      </patternFill>
    </fill>
    <fill>
      <patternFill patternType="solid">
        <fgColor rgb="FFFFF4E5"/>
      </patternFill>
    </fill>
    <fill>
      <patternFill patternType="solid">
        <fgColor rgb="FFEAF2F8"/>
      </patternFill>
    </fill>
    <fill>
      <patternFill patternType="solid">
        <fgColor rgb="FFE8F5E9"/>
      </patternFill>
    </fill>
    <fill>
      <patternFill patternType="solid">
        <fgColor rgb="FFFCE8E6"/>
      </patternFill>
    </fill>
    <fill>
      <patternFill patternType="solid">
        <fgColor rgb="FFC6EFCE"/>
      </patternFill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2F2F2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top style="medium">
        <color rgb="FF7F7F7F"/>
      </top>
      <bottom style="hair">
        <color rgb="FFD9D9D9"/>
      </bottom>
    </border>
    <border>
      <left style="thin">
        <color rgb="FF70AD47"/>
      </left>
      <right style="thin">
        <color rgb="FF70AD47"/>
      </right>
      <top style="thin">
        <color rgb="FF70AD47"/>
      </top>
      <bottom style="thin">
        <color rgb="FF70AD47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hair">
        <color rgb="FFD9D9D9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CCCCCC"/>
      </left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top style="thin">
        <color rgb="FFD9E1F2"/>
      </top>
    </border>
    <border>
      <left style="thin">
        <color rgb="FFD9E1F2"/>
      </left>
    </border>
    <border>
      <right style="thin">
        <color rgb="FFD9E1F2"/>
      </right>
      <top style="thin">
        <color rgb="FFD9E1F2"/>
      </top>
    </border>
    <border>
      <right style="thin">
        <color rgb="FFD9E1F2"/>
      </right>
    </border>
    <border>
      <left style="thin">
        <color rgb="FFD9E1F2"/>
      </left>
      <bottom style="thin">
        <color rgb="FFD9E1F2"/>
      </bottom>
    </border>
    <border>
      <bottom style="thin">
        <color rgb="FFD9E1F2"/>
      </bottom>
    </border>
    <border>
      <right style="thin">
        <color rgb="FFD9E1F2"/>
      </right>
      <bottom style="thin">
        <color rgb="FFD9E1F2"/>
      </bottom>
    </border>
  </borders>
  <cellStyleXfs count="1">
    <xf numFmtId="0" fontId="0" fillId="0" borderId="0"/>
  </cellStyleXfs>
  <cellXfs count="21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/>
    </xf>
    <xf numFmtId="0" fontId="5" fillId="4" borderId="1" applyAlignment="1" pivotButton="0" quotePrefix="0" xfId="0">
      <alignment horizontal="left" vertical="center"/>
    </xf>
    <xf numFmtId="0" fontId="6" fillId="3" borderId="0" applyAlignment="1" pivotButton="0" quotePrefix="0" xfId="0">
      <alignment horizontal="left"/>
    </xf>
    <xf numFmtId="0" fontId="7" fillId="5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/>
    </xf>
    <xf numFmtId="164" fontId="8" fillId="4" borderId="1" applyAlignment="1" pivotButton="0" quotePrefix="0" xfId="0">
      <alignment horizontal="center" vertical="center"/>
    </xf>
    <xf numFmtId="0" fontId="9" fillId="6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/>
    </xf>
    <xf numFmtId="0" fontId="11" fillId="0" borderId="0" applyAlignment="1" pivotButton="0" quotePrefix="0" xfId="0">
      <alignment vertical="bottom" wrapText="1"/>
    </xf>
    <xf numFmtId="0" fontId="8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0" fontId="13" fillId="0" borderId="3" pivotButton="0" quotePrefix="0" xfId="0"/>
    <xf numFmtId="0" fontId="14" fillId="7" borderId="4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/>
    </xf>
    <xf numFmtId="0" fontId="14" fillId="7" borderId="5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left"/>
    </xf>
    <xf numFmtId="0" fontId="6" fillId="8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left"/>
    </xf>
    <xf numFmtId="0" fontId="16" fillId="4" borderId="1" applyAlignment="1" pivotButton="0" quotePrefix="0" xfId="0">
      <alignment horizontal="left" vertical="center"/>
    </xf>
    <xf numFmtId="0" fontId="14" fillId="7" borderId="6" applyAlignment="1" pivotButton="0" quotePrefix="0" xfId="0">
      <alignment horizontal="center" vertical="center" wrapText="1"/>
    </xf>
    <xf numFmtId="164" fontId="16" fillId="4" borderId="1" applyAlignment="1" pivotButton="0" quotePrefix="0" xfId="0">
      <alignment horizontal="center" vertical="center"/>
    </xf>
    <xf numFmtId="0" fontId="11" fillId="9" borderId="7" applyAlignment="1" pivotButton="0" quotePrefix="0" xfId="0">
      <alignment vertical="center" wrapText="1"/>
    </xf>
    <xf numFmtId="0" fontId="17" fillId="9" borderId="7" applyAlignment="1" pivotButton="0" quotePrefix="0" xfId="0">
      <alignment vertical="center" wrapText="1"/>
    </xf>
    <xf numFmtId="0" fontId="3" fillId="10" borderId="0" applyAlignment="1" pivotButton="0" quotePrefix="0" xfId="0">
      <alignment horizontal="center"/>
    </xf>
    <xf numFmtId="0" fontId="6" fillId="10" borderId="0" applyAlignment="1" pivotButton="0" quotePrefix="0" xfId="0">
      <alignment horizontal="left"/>
    </xf>
    <xf numFmtId="164" fontId="18" fillId="11" borderId="8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/>
    </xf>
    <xf numFmtId="164" fontId="11" fillId="9" borderId="7" applyAlignment="1" pivotButton="0" quotePrefix="0" xfId="0">
      <alignment horizontal="center" vertical="center" wrapText="1"/>
    </xf>
    <xf numFmtId="0" fontId="13" fillId="0" borderId="9" pivotButton="0" quotePrefix="0" xfId="0"/>
    <xf numFmtId="0" fontId="19" fillId="12" borderId="10" applyAlignment="1" pivotButton="0" quotePrefix="0" xfId="0">
      <alignment horizontal="left" vertical="center"/>
    </xf>
    <xf numFmtId="0" fontId="10" fillId="10" borderId="0" applyAlignment="1" pivotButton="0" quotePrefix="0" xfId="0">
      <alignment horizontal="left"/>
    </xf>
    <xf numFmtId="0" fontId="20" fillId="9" borderId="7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19" fillId="12" borderId="1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11" fillId="0" borderId="0" pivotButton="0" quotePrefix="0" xfId="0"/>
    <xf numFmtId="164" fontId="8" fillId="3" borderId="1" applyAlignment="1" pivotButton="0" quotePrefix="0" xfId="0">
      <alignment horizontal="center" vertical="center"/>
    </xf>
    <xf numFmtId="0" fontId="21" fillId="12" borderId="11" applyAlignment="1" pivotButton="0" quotePrefix="0" xfId="0">
      <alignment vertical="center"/>
    </xf>
    <xf numFmtId="0" fontId="8" fillId="3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center" wrapText="1"/>
    </xf>
    <xf numFmtId="0" fontId="19" fillId="12" borderId="11" applyAlignment="1" pivotButton="0" quotePrefix="0" xfId="0">
      <alignment vertical="center"/>
    </xf>
    <xf numFmtId="0" fontId="17" fillId="9" borderId="0" applyAlignment="1" pivotButton="0" quotePrefix="0" xfId="0">
      <alignment vertical="center" wrapText="1"/>
    </xf>
    <xf numFmtId="164" fontId="11" fillId="9" borderId="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left" vertical="center"/>
    </xf>
    <xf numFmtId="164" fontId="16" fillId="3" borderId="1" applyAlignment="1" pivotButton="0" quotePrefix="0" xfId="0">
      <alignment horizontal="center" vertical="center"/>
    </xf>
    <xf numFmtId="0" fontId="20" fillId="9" borderId="0" applyAlignment="1" pivotButton="0" quotePrefix="0" xfId="0">
      <alignment horizontal="center" vertical="center" wrapText="1"/>
    </xf>
    <xf numFmtId="0" fontId="19" fillId="12" borderId="12" applyAlignment="1" pivotButton="0" quotePrefix="0" xfId="0">
      <alignment horizontal="left" vertical="center"/>
    </xf>
    <xf numFmtId="0" fontId="4" fillId="8" borderId="2" applyAlignment="1" pivotButton="0" quotePrefix="0" xfId="0">
      <alignment horizontal="center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center" vertical="center"/>
    </xf>
    <xf numFmtId="0" fontId="19" fillId="12" borderId="13" applyAlignment="1" pivotButton="0" quotePrefix="0" xfId="0">
      <alignment horizontal="left" vertical="center"/>
    </xf>
    <xf numFmtId="0" fontId="22" fillId="9" borderId="0" applyAlignment="1" pivotButton="0" quotePrefix="0" xfId="0">
      <alignment vertical="center" wrapText="1"/>
    </xf>
    <xf numFmtId="0" fontId="19" fillId="12" borderId="14" applyAlignment="1" pivotButton="0" quotePrefix="0" xfId="0">
      <alignment horizontal="left" vertical="center"/>
    </xf>
    <xf numFmtId="0" fontId="23" fillId="12" borderId="14" applyAlignment="1" pivotButton="0" quotePrefix="0" xfId="0">
      <alignment vertical="center"/>
    </xf>
    <xf numFmtId="0" fontId="23" fillId="12" borderId="14" applyAlignment="1" pivotButton="0" quotePrefix="0" xfId="0">
      <alignment vertical="center"/>
    </xf>
    <xf numFmtId="0" fontId="4" fillId="13" borderId="2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164" fontId="16" fillId="13" borderId="1" applyAlignment="1" pivotButton="0" quotePrefix="0" xfId="0">
      <alignment horizontal="center" vertical="center"/>
    </xf>
    <xf numFmtId="0" fontId="19" fillId="12" borderId="15" applyAlignment="1" pivotButton="0" quotePrefix="0" xfId="0">
      <alignment horizontal="left" vertical="center"/>
    </xf>
    <xf numFmtId="0" fontId="24" fillId="9" borderId="0" applyAlignment="1" pivotButton="0" quotePrefix="0" xfId="0">
      <alignment vertical="center" wrapText="1"/>
    </xf>
    <xf numFmtId="0" fontId="25" fillId="14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26" fillId="15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11" fillId="16" borderId="7" applyAlignment="1" pivotButton="0" quotePrefix="0" xfId="0">
      <alignment vertical="center" wrapText="1"/>
    </xf>
    <xf numFmtId="0" fontId="17" fillId="16" borderId="7" applyAlignment="1" pivotButton="0" quotePrefix="0" xfId="0">
      <alignment vertical="center" wrapText="1"/>
    </xf>
    <xf numFmtId="164" fontId="11" fillId="16" borderId="7" applyAlignment="1" pivotButton="0" quotePrefix="0" xfId="0">
      <alignment horizontal="center" vertical="center" wrapText="1"/>
    </xf>
    <xf numFmtId="0" fontId="20" fillId="16" borderId="7" applyAlignment="1" pivotButton="0" quotePrefix="0" xfId="0">
      <alignment horizontal="center" vertical="center" wrapText="1"/>
    </xf>
    <xf numFmtId="0" fontId="11" fillId="16" borderId="0" applyAlignment="1" pivotButton="0" quotePrefix="0" xfId="0">
      <alignment vertical="center" wrapText="1"/>
    </xf>
    <xf numFmtId="0" fontId="17" fillId="16" borderId="0" applyAlignment="1" pivotButton="0" quotePrefix="0" xfId="0">
      <alignment vertical="center" wrapText="1"/>
    </xf>
    <xf numFmtId="164" fontId="11" fillId="16" borderId="0" applyAlignment="1" pivotButton="0" quotePrefix="0" xfId="0">
      <alignment horizontal="center" vertical="center" wrapText="1"/>
    </xf>
    <xf numFmtId="0" fontId="20" fillId="16" borderId="0" applyAlignment="1" pivotButton="0" quotePrefix="0" xfId="0">
      <alignment horizontal="center" vertical="center" wrapText="1"/>
    </xf>
    <xf numFmtId="0" fontId="22" fillId="16" borderId="0" applyAlignment="1" pivotButton="0" quotePrefix="0" xfId="0">
      <alignment vertical="center" wrapText="1"/>
    </xf>
    <xf numFmtId="0" fontId="19" fillId="17" borderId="13" applyAlignment="1" pivotButton="0" quotePrefix="0" xfId="0">
      <alignment horizontal="left" vertical="center"/>
    </xf>
    <xf numFmtId="0" fontId="19" fillId="17" borderId="14" applyAlignment="1" pivotButton="0" quotePrefix="0" xfId="0">
      <alignment horizontal="left" vertical="center"/>
    </xf>
    <xf numFmtId="0" fontId="19" fillId="17" borderId="14" applyAlignment="1" pivotButton="0" quotePrefix="0" xfId="0">
      <alignment vertical="center"/>
    </xf>
    <xf numFmtId="0" fontId="19" fillId="17" borderId="14" applyAlignment="1" pivotButton="0" quotePrefix="0" xfId="0">
      <alignment vertical="center"/>
    </xf>
    <xf numFmtId="0" fontId="24" fillId="16" borderId="0" applyAlignment="1" pivotButton="0" quotePrefix="0" xfId="0">
      <alignment vertical="center" wrapText="1"/>
    </xf>
    <xf numFmtId="0" fontId="19" fillId="17" borderId="15" applyAlignment="1" pivotButton="0" quotePrefix="0" xfId="0">
      <alignment horizontal="left" vertical="center"/>
    </xf>
    <xf numFmtId="0" fontId="23" fillId="17" borderId="14" applyAlignment="1" pivotButton="0" quotePrefix="0" xfId="0">
      <alignment vertical="center"/>
    </xf>
    <xf numFmtId="0" fontId="23" fillId="17" borderId="14" applyAlignment="1" pivotButton="0" quotePrefix="0" xfId="0">
      <alignment vertical="center"/>
    </xf>
    <xf numFmtId="0" fontId="11" fillId="18" borderId="7" applyAlignment="1" pivotButton="0" quotePrefix="0" xfId="0">
      <alignment vertical="center" wrapText="1"/>
    </xf>
    <xf numFmtId="0" fontId="22" fillId="18" borderId="7" applyAlignment="1" pivotButton="0" quotePrefix="0" xfId="0">
      <alignment vertical="center" wrapText="1"/>
    </xf>
    <xf numFmtId="164" fontId="11" fillId="18" borderId="7" applyAlignment="1" pivotButton="0" quotePrefix="0" xfId="0">
      <alignment horizontal="center" vertical="center" wrapText="1"/>
    </xf>
    <xf numFmtId="0" fontId="20" fillId="18" borderId="7" applyAlignment="1" pivotButton="0" quotePrefix="0" xfId="0">
      <alignment horizontal="center" vertical="center" wrapText="1"/>
    </xf>
    <xf numFmtId="0" fontId="11" fillId="18" borderId="0" applyAlignment="1" pivotButton="0" quotePrefix="0" xfId="0">
      <alignment vertical="center" wrapText="1"/>
    </xf>
    <xf numFmtId="0" fontId="22" fillId="18" borderId="0" applyAlignment="1" pivotButton="0" quotePrefix="0" xfId="0">
      <alignment vertical="center" wrapText="1"/>
    </xf>
    <xf numFmtId="164" fontId="11" fillId="18" borderId="0" applyAlignment="1" pivotButton="0" quotePrefix="0" xfId="0">
      <alignment horizontal="center" vertical="center" wrapText="1"/>
    </xf>
    <xf numFmtId="0" fontId="20" fillId="18" borderId="0" applyAlignment="1" pivotButton="0" quotePrefix="0" xfId="0">
      <alignment horizontal="center" vertical="center" wrapText="1"/>
    </xf>
    <xf numFmtId="0" fontId="11" fillId="19" borderId="7" applyAlignment="1" pivotButton="0" quotePrefix="0" xfId="0">
      <alignment vertical="center" wrapText="1"/>
    </xf>
    <xf numFmtId="0" fontId="22" fillId="19" borderId="7" applyAlignment="1" pivotButton="0" quotePrefix="0" xfId="0">
      <alignment vertical="center" wrapText="1"/>
    </xf>
    <xf numFmtId="164" fontId="11" fillId="19" borderId="7" applyAlignment="1" pivotButton="0" quotePrefix="0" xfId="0">
      <alignment horizontal="center" vertical="center" wrapText="1"/>
    </xf>
    <xf numFmtId="0" fontId="20" fillId="19" borderId="7" applyAlignment="1" pivotButton="0" quotePrefix="0" xfId="0">
      <alignment horizontal="center" vertical="center" wrapText="1"/>
    </xf>
    <xf numFmtId="0" fontId="11" fillId="19" borderId="0" applyAlignment="1" pivotButton="0" quotePrefix="0" xfId="0">
      <alignment vertical="center" wrapText="1"/>
    </xf>
    <xf numFmtId="0" fontId="22" fillId="19" borderId="0" applyAlignment="1" pivotButton="0" quotePrefix="0" xfId="0">
      <alignment vertical="center" wrapText="1"/>
    </xf>
    <xf numFmtId="164" fontId="11" fillId="19" borderId="0" applyAlignment="1" pivotButton="0" quotePrefix="0" xfId="0">
      <alignment horizontal="center" vertical="center" wrapText="1"/>
    </xf>
    <xf numFmtId="0" fontId="20" fillId="19" borderId="0" applyAlignment="1" pivotButton="0" quotePrefix="0" xfId="0">
      <alignment horizontal="center" vertical="center" wrapText="1"/>
    </xf>
    <xf numFmtId="0" fontId="11" fillId="19" borderId="16" applyAlignment="1" pivotButton="0" quotePrefix="0" xfId="0">
      <alignment vertical="center" wrapText="1"/>
    </xf>
    <xf numFmtId="0" fontId="22" fillId="19" borderId="16" applyAlignment="1" pivotButton="0" quotePrefix="0" xfId="0">
      <alignment vertical="center" wrapText="1"/>
    </xf>
    <xf numFmtId="164" fontId="11" fillId="19" borderId="16" applyAlignment="1" pivotButton="0" quotePrefix="0" xfId="0">
      <alignment horizontal="center" vertical="center" wrapText="1"/>
    </xf>
    <xf numFmtId="0" fontId="19" fillId="17" borderId="17" applyAlignment="1" pivotButton="0" quotePrefix="0" xfId="0">
      <alignment horizontal="left" vertical="center"/>
    </xf>
    <xf numFmtId="0" fontId="19" fillId="17" borderId="18" applyAlignment="1" pivotButton="0" quotePrefix="0" xfId="0">
      <alignment horizontal="left" vertical="center"/>
    </xf>
    <xf numFmtId="0" fontId="20" fillId="19" borderId="16" applyAlignment="1" pivotButton="0" quotePrefix="0" xfId="0">
      <alignment horizontal="center" vertical="center" wrapText="1"/>
    </xf>
    <xf numFmtId="0" fontId="23" fillId="17" borderId="18" applyAlignment="1" pivotButton="0" quotePrefix="0" xfId="0">
      <alignment vertical="center"/>
    </xf>
    <xf numFmtId="0" fontId="23" fillId="17" borderId="18" applyAlignment="1" pivotButton="0" quotePrefix="0" xfId="0">
      <alignment vertical="center"/>
    </xf>
    <xf numFmtId="0" fontId="19" fillId="17" borderId="19" applyAlignment="1" pivotButton="0" quotePrefix="0" xfId="0">
      <alignment horizontal="left" vertical="center"/>
    </xf>
    <xf numFmtId="0" fontId="27" fillId="2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6" borderId="0" applyAlignment="1" pivotButton="0" quotePrefix="0" xfId="0">
      <alignment horizontal="center" vertical="center"/>
    </xf>
    <xf numFmtId="0" fontId="30" fillId="7" borderId="20" applyAlignment="1" pivotButton="0" quotePrefix="0" xfId="0">
      <alignment horizontal="center" vertical="center"/>
    </xf>
    <xf numFmtId="0" fontId="11" fillId="0" borderId="20" applyAlignment="1" pivotButton="0" quotePrefix="0" xfId="0">
      <alignment horizontal="center" vertical="center"/>
    </xf>
    <xf numFmtId="164" fontId="11" fillId="0" borderId="20" applyAlignment="1" pivotButton="0" quotePrefix="0" xfId="0">
      <alignment horizontal="center" vertical="center"/>
    </xf>
    <xf numFmtId="164" fontId="31" fillId="11" borderId="2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9" pivotButton="0" quotePrefix="0" xfId="0"/>
    <xf numFmtId="0" fontId="0" fillId="0" borderId="3" pivotButton="0" quotePrefix="0" xfId="0"/>
    <xf numFmtId="0" fontId="4" fillId="8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9" fillId="21" borderId="10" applyAlignment="1" pivotButton="0" quotePrefix="0" xfId="0">
      <alignment horizontal="left" vertical="center"/>
    </xf>
    <xf numFmtId="0" fontId="19" fillId="21" borderId="11" applyAlignment="1" pivotButton="0" quotePrefix="0" xfId="0">
      <alignment horizontal="left" vertical="center"/>
    </xf>
    <xf numFmtId="0" fontId="21" fillId="21" borderId="11" applyAlignment="1" pivotButton="0" quotePrefix="0" xfId="0">
      <alignment vertical="center"/>
    </xf>
    <xf numFmtId="0" fontId="19" fillId="21" borderId="11" applyAlignment="1" pivotButton="0" quotePrefix="0" xfId="0">
      <alignment vertical="center"/>
    </xf>
    <xf numFmtId="0" fontId="19" fillId="21" borderId="12" applyAlignment="1" pivotButton="0" quotePrefix="0" xfId="0">
      <alignment horizontal="left" vertical="center"/>
    </xf>
    <xf numFmtId="0" fontId="19" fillId="21" borderId="13" applyAlignment="1" pivotButton="0" quotePrefix="0" xfId="0">
      <alignment horizontal="left" vertical="center"/>
    </xf>
    <xf numFmtId="0" fontId="19" fillId="21" borderId="14" applyAlignment="1" pivotButton="0" quotePrefix="0" xfId="0">
      <alignment horizontal="left" vertical="center"/>
    </xf>
    <xf numFmtId="0" fontId="23" fillId="21" borderId="14" applyAlignment="1" pivotButton="0" quotePrefix="0" xfId="0">
      <alignment vertical="center"/>
    </xf>
    <xf numFmtId="0" fontId="19" fillId="21" borderId="15" applyAlignment="1" pivotButton="0" quotePrefix="0" xfId="0">
      <alignment horizontal="left" vertical="center"/>
    </xf>
    <xf numFmtId="0" fontId="19" fillId="22" borderId="10" applyAlignment="1" pivotButton="0" quotePrefix="0" xfId="0">
      <alignment horizontal="left" vertical="center"/>
    </xf>
    <xf numFmtId="0" fontId="19" fillId="22" borderId="11" applyAlignment="1" pivotButton="0" quotePrefix="0" xfId="0">
      <alignment horizontal="left" vertical="center"/>
    </xf>
    <xf numFmtId="0" fontId="21" fillId="22" borderId="11" applyAlignment="1" pivotButton="0" quotePrefix="0" xfId="0">
      <alignment vertical="center"/>
    </xf>
    <xf numFmtId="0" fontId="19" fillId="22" borderId="11" applyAlignment="1" pivotButton="0" quotePrefix="0" xfId="0">
      <alignment vertical="center"/>
    </xf>
    <xf numFmtId="0" fontId="19" fillId="22" borderId="12" applyAlignment="1" pivotButton="0" quotePrefix="0" xfId="0">
      <alignment horizontal="left" vertical="center"/>
    </xf>
    <xf numFmtId="0" fontId="19" fillId="22" borderId="13" applyAlignment="1" pivotButton="0" quotePrefix="0" xfId="0">
      <alignment horizontal="left" vertical="center"/>
    </xf>
    <xf numFmtId="0" fontId="19" fillId="22" borderId="14" applyAlignment="1" pivotButton="0" quotePrefix="0" xfId="0">
      <alignment horizontal="left" vertical="center"/>
    </xf>
    <xf numFmtId="0" fontId="23" fillId="22" borderId="14" applyAlignment="1" pivotButton="0" quotePrefix="0" xfId="0">
      <alignment vertical="center"/>
    </xf>
    <xf numFmtId="0" fontId="19" fillId="22" borderId="15" applyAlignment="1" pivotButton="0" quotePrefix="0" xfId="0">
      <alignment horizontal="left" vertical="center"/>
    </xf>
    <xf numFmtId="0" fontId="19" fillId="23" borderId="10" applyAlignment="1" pivotButton="0" quotePrefix="0" xfId="0">
      <alignment horizontal="left" vertical="center"/>
    </xf>
    <xf numFmtId="0" fontId="19" fillId="23" borderId="11" applyAlignment="1" pivotButton="0" quotePrefix="0" xfId="0">
      <alignment horizontal="left" vertical="center"/>
    </xf>
    <xf numFmtId="0" fontId="21" fillId="23" borderId="11" applyAlignment="1" pivotButton="0" quotePrefix="0" xfId="0">
      <alignment vertical="center"/>
    </xf>
    <xf numFmtId="0" fontId="19" fillId="23" borderId="11" applyAlignment="1" pivotButton="0" quotePrefix="0" xfId="0">
      <alignment vertical="center"/>
    </xf>
    <xf numFmtId="0" fontId="19" fillId="23" borderId="12" applyAlignment="1" pivotButton="0" quotePrefix="0" xfId="0">
      <alignment horizontal="left" vertical="center"/>
    </xf>
    <xf numFmtId="0" fontId="19" fillId="23" borderId="13" applyAlignment="1" pivotButton="0" quotePrefix="0" xfId="0">
      <alignment horizontal="left" vertical="center"/>
    </xf>
    <xf numFmtId="0" fontId="19" fillId="23" borderId="14" applyAlignment="1" pivotButton="0" quotePrefix="0" xfId="0">
      <alignment horizontal="left" vertical="center"/>
    </xf>
    <xf numFmtId="0" fontId="23" fillId="23" borderId="14" applyAlignment="1" pivotButton="0" quotePrefix="0" xfId="0">
      <alignment vertical="center"/>
    </xf>
    <xf numFmtId="0" fontId="19" fillId="23" borderId="15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0" fontId="11" fillId="24" borderId="0" applyAlignment="1" pivotButton="0" quotePrefix="0" xfId="0">
      <alignment vertical="center" wrapText="1"/>
    </xf>
    <xf numFmtId="0" fontId="22" fillId="24" borderId="0" applyAlignment="1" pivotButton="0" quotePrefix="0" xfId="0">
      <alignment vertical="center" wrapText="1"/>
    </xf>
    <xf numFmtId="164" fontId="11" fillId="24" borderId="0" applyAlignment="1" pivotButton="0" quotePrefix="0" xfId="0">
      <alignment horizontal="center" vertical="center" wrapText="1"/>
    </xf>
    <xf numFmtId="164" fontId="18" fillId="27" borderId="8" applyAlignment="1" pivotButton="0" quotePrefix="0" xfId="0">
      <alignment horizontal="center" vertical="center" wrapText="1"/>
    </xf>
    <xf numFmtId="164" fontId="11" fillId="27" borderId="0" applyAlignment="1" pivotButton="0" quotePrefix="0" xfId="0">
      <alignment horizontal="center" vertical="center" wrapText="1"/>
    </xf>
    <xf numFmtId="0" fontId="20" fillId="24" borderId="0" applyAlignment="1" pivotButton="0" quotePrefix="0" xfId="0">
      <alignment horizontal="center" vertical="center" wrapText="1"/>
    </xf>
    <xf numFmtId="164" fontId="18" fillId="24" borderId="8" applyAlignment="1" pivotButton="0" quotePrefix="0" xfId="0">
      <alignment horizontal="center" vertical="center" wrapText="1"/>
    </xf>
    <xf numFmtId="0" fontId="11" fillId="25" borderId="0" applyAlignment="1" pivotButton="0" quotePrefix="0" xfId="0">
      <alignment vertical="center" wrapText="1"/>
    </xf>
    <xf numFmtId="0" fontId="22" fillId="25" borderId="0" applyAlignment="1" pivotButton="0" quotePrefix="0" xfId="0">
      <alignment vertical="center" wrapText="1"/>
    </xf>
    <xf numFmtId="164" fontId="11" fillId="25" borderId="0" applyAlignment="1" pivotButton="0" quotePrefix="0" xfId="0">
      <alignment horizontal="center" vertical="center" wrapText="1"/>
    </xf>
    <xf numFmtId="0" fontId="20" fillId="25" borderId="0" applyAlignment="1" pivotButton="0" quotePrefix="0" xfId="0">
      <alignment horizontal="center" vertical="center" wrapText="1"/>
    </xf>
    <xf numFmtId="0" fontId="11" fillId="23" borderId="7" applyAlignment="1" pivotButton="0" quotePrefix="0" xfId="0">
      <alignment vertical="center" wrapText="1"/>
    </xf>
    <xf numFmtId="0" fontId="22" fillId="23" borderId="7" applyAlignment="1" pivotButton="0" quotePrefix="0" xfId="0">
      <alignment vertical="center" wrapText="1"/>
    </xf>
    <xf numFmtId="164" fontId="11" fillId="23" borderId="7" applyAlignment="1" pivotButton="0" quotePrefix="0" xfId="0">
      <alignment horizontal="center" vertical="center" wrapText="1"/>
    </xf>
    <xf numFmtId="164" fontId="11" fillId="27" borderId="7" applyAlignment="1" pivotButton="0" quotePrefix="0" xfId="0">
      <alignment horizontal="center" vertical="center" wrapText="1"/>
    </xf>
    <xf numFmtId="0" fontId="20" fillId="23" borderId="7" applyAlignment="1" pivotButton="0" quotePrefix="0" xfId="0">
      <alignment horizontal="center" vertical="center" wrapText="1"/>
    </xf>
    <xf numFmtId="0" fontId="11" fillId="26" borderId="7" applyAlignment="1" pivotButton="0" quotePrefix="0" xfId="0">
      <alignment vertical="center" wrapText="1"/>
    </xf>
    <xf numFmtId="0" fontId="22" fillId="26" borderId="7" applyAlignment="1" pivotButton="0" quotePrefix="0" xfId="0">
      <alignment vertical="center" wrapText="1"/>
    </xf>
    <xf numFmtId="164" fontId="11" fillId="26" borderId="7" applyAlignment="1" pivotButton="0" quotePrefix="0" xfId="0">
      <alignment horizontal="center" vertical="center" wrapText="1"/>
    </xf>
    <xf numFmtId="0" fontId="20" fillId="26" borderId="7" applyAlignment="1" pivotButton="0" quotePrefix="0" xfId="0">
      <alignment horizontal="center" vertical="center" wrapText="1"/>
    </xf>
    <xf numFmtId="0" fontId="32" fillId="28" borderId="0" applyAlignment="1" pivotButton="0" quotePrefix="0" xfId="0">
      <alignment horizontal="center" vertical="center"/>
    </xf>
    <xf numFmtId="0" fontId="9" fillId="29" borderId="0" applyAlignment="1" pivotButton="0" quotePrefix="0" xfId="0">
      <alignment horizontal="left" vertical="center" wrapText="1"/>
    </xf>
    <xf numFmtId="0" fontId="14" fillId="28" borderId="22" applyAlignment="1" pivotButton="0" quotePrefix="0" xfId="0">
      <alignment horizontal="center" vertical="center"/>
    </xf>
    <xf numFmtId="0" fontId="33" fillId="24" borderId="22" applyAlignment="1" pivotButton="0" quotePrefix="0" xfId="0">
      <alignment horizontal="left" vertical="center"/>
    </xf>
    <xf numFmtId="164" fontId="33" fillId="24" borderId="22" applyAlignment="1" pivotButton="0" quotePrefix="0" xfId="0">
      <alignment horizontal="center" vertical="center"/>
    </xf>
    <xf numFmtId="164" fontId="34" fillId="27" borderId="22" applyAlignment="1" pivotButton="0" quotePrefix="0" xfId="0">
      <alignment horizontal="center" vertical="center"/>
    </xf>
    <xf numFmtId="0" fontId="33" fillId="25" borderId="22" applyAlignment="1" pivotButton="0" quotePrefix="0" xfId="0">
      <alignment horizontal="left" vertical="center"/>
    </xf>
    <xf numFmtId="164" fontId="33" fillId="25" borderId="22" applyAlignment="1" pivotButton="0" quotePrefix="0" xfId="0">
      <alignment horizontal="center" vertical="center"/>
    </xf>
    <xf numFmtId="0" fontId="33" fillId="23" borderId="22" applyAlignment="1" pivotButton="0" quotePrefix="0" xfId="0">
      <alignment horizontal="left" vertical="center"/>
    </xf>
    <xf numFmtId="164" fontId="33" fillId="23" borderId="22" applyAlignment="1" pivotButton="0" quotePrefix="0" xfId="0">
      <alignment horizontal="center" vertical="center"/>
    </xf>
    <xf numFmtId="0" fontId="33" fillId="26" borderId="22" applyAlignment="1" pivotButton="0" quotePrefix="0" xfId="0">
      <alignment horizontal="left" vertical="center"/>
    </xf>
    <xf numFmtId="164" fontId="33" fillId="26" borderId="22" applyAlignment="1" pivotButton="0" quotePrefix="0" xfId="0">
      <alignment horizontal="center" vertical="center"/>
    </xf>
    <xf numFmtId="0" fontId="35" fillId="30" borderId="0" applyAlignment="1" pivotButton="0" quotePrefix="0" xfId="0">
      <alignment horizontal="left" vertical="center" wrapText="1"/>
    </xf>
    <xf numFmtId="164" fontId="19" fillId="21" borderId="11" applyAlignment="1" pivotButton="0" quotePrefix="0" xfId="0">
      <alignment vertical="center"/>
    </xf>
    <xf numFmtId="164" fontId="23" fillId="21" borderId="14" applyAlignment="1" pivotButton="0" quotePrefix="0" xfId="0">
      <alignment vertical="center"/>
    </xf>
    <xf numFmtId="164" fontId="19" fillId="22" borderId="11" applyAlignment="1" pivotButton="0" quotePrefix="0" xfId="0">
      <alignment vertical="center"/>
    </xf>
    <xf numFmtId="164" fontId="23" fillId="22" borderId="14" applyAlignment="1" pivotButton="0" quotePrefix="0" xfId="0">
      <alignment vertical="center"/>
    </xf>
    <xf numFmtId="164" fontId="19" fillId="23" borderId="11" applyAlignment="1" pivotButton="0" quotePrefix="0" xfId="0">
      <alignment vertical="center"/>
    </xf>
    <xf numFmtId="164" fontId="23" fillId="23" borderId="14" applyAlignment="1" pivotButton="0" quotePrefix="0" xfId="0">
      <alignment vertical="center"/>
    </xf>
    <xf numFmtId="0" fontId="36" fillId="31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37" fillId="31" borderId="0" applyAlignment="1" pivotButton="0" quotePrefix="0" xfId="0">
      <alignment horizontal="center" vertical="center"/>
    </xf>
    <xf numFmtId="165" fontId="0" fillId="0" borderId="0" pivotButton="0" quotePrefix="0" xfId="0"/>
    <xf numFmtId="0" fontId="38" fillId="32" borderId="0" pivotButton="0" quotePrefix="0" xfId="0"/>
    <xf numFmtId="0" fontId="37" fillId="31" borderId="0" applyAlignment="1" pivotButton="0" quotePrefix="0" xfId="0">
      <alignment horizontal="center" wrapText="1"/>
    </xf>
    <xf numFmtId="165" fontId="0" fillId="33" borderId="0" pivotButton="0" quotePrefix="0" xfId="0"/>
    <xf numFmtId="0" fontId="37" fillId="31" borderId="0" applyAlignment="1" pivotButton="0" quotePrefix="0" xfId="0">
      <alignment horizontal="center"/>
    </xf>
    <xf numFmtId="164" fontId="33" fillId="27" borderId="22" applyAlignment="1" pivotButton="0" quotePrefix="0" xfId="0">
      <alignment horizontal="center" vertical="center"/>
    </xf>
    <xf numFmtId="164" fontId="34" fillId="23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164" fontId="19" fillId="33" borderId="11" applyAlignment="1" pivotButton="0" quotePrefix="0" xfId="0">
      <alignment vertical="center"/>
    </xf>
    <xf numFmtId="164" fontId="23" fillId="33" borderId="14" applyAlignment="1" pivotButton="0" quotePrefix="0" xfId="0">
      <alignment vertical="center"/>
    </xf>
    <xf numFmtId="164" fontId="18" fillId="33" borderId="8" applyAlignment="1" pivotButton="0" quotePrefix="0" xfId="0">
      <alignment horizontal="center" vertical="center" wrapText="1"/>
    </xf>
    <xf numFmtId="164" fontId="11" fillId="33" borderId="0" applyAlignment="1" pivotButton="0" quotePrefix="0" xfId="0">
      <alignment horizontal="center" vertical="center" wrapText="1"/>
    </xf>
    <xf numFmtId="164" fontId="11" fillId="33" borderId="7" applyAlignment="1" pivotButton="0" quotePrefix="0" xfId="0">
      <alignment horizontal="center" vertical="center" wrapText="1"/>
    </xf>
  </cellXfs>
  <cellStyles count="1">
    <cellStyle name="Normal" xfId="0" builtinId="0"/>
  </cellStyles>
  <dxfs count="8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9" defaultPivotStyle="PivotStyleLight16">
    <tableStyle name="Combined Results-style" pivot="0" count="3">
      <tableStyleElement type="headerRow" dxfId="2"/>
      <tableStyleElement type="firstRowStripe" dxfId="4"/>
      <tableStyleElement type="secondRowStripe" dxfId="6"/>
    </tableStyle>
    <tableStyle name="XGBoost Head-style" pivot="0" count="4">
      <tableStyleElement type="headerRow" dxfId="1"/>
      <tableStyleElement type="firstRowStripe" dxfId="3"/>
      <tableStyleElement type="secondRowStripe" dxfId="5"/>
      <tableStyleElement type="wholeTable" size="0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Macro-F1 Comparison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'Summary'!$B$5</f>
            </strRef>
          </tx>
          <spPr>
            <a:solidFill xmlns:a="http://schemas.openxmlformats.org/drawingml/2006/main">
              <a:srgbClr val="FF4472C4"/>
            </a:solidFill>
            <a:ln xmlns:a="http://schemas.openxmlformats.org/drawingml/2006/main">
              <a:solidFill>
                <a:srgbClr val="FF4472C4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'Summary'!$B$6:$B$20</f>
            </numRef>
          </val>
        </ser>
        <ser>
          <idx val="1"/>
          <order val="1"/>
          <tx>
            <strRef>
              <f>'Summary'!$C$5</f>
            </strRef>
          </tx>
          <spPr>
            <a:solidFill xmlns:a="http://schemas.openxmlformats.org/drawingml/2006/main">
              <a:srgbClr val="FFC0504D"/>
            </a:solidFill>
            <a:ln xmlns:a="http://schemas.openxmlformats.org/drawingml/2006/main">
              <a:solidFill>
                <a:srgbClr val="FFC0504D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'Summary'!$C$6:$C$20</f>
            </numRef>
          </val>
        </ser>
        <ser>
          <idx val="2"/>
          <order val="2"/>
          <tx>
            <strRef>
              <f>'Summary'!$D$5</f>
            </strRef>
          </tx>
          <spPr>
            <a:solidFill xmlns:a="http://schemas.openxmlformats.org/drawingml/2006/main">
              <a:srgbClr val="FFF4B183"/>
            </a:solidFill>
            <a:ln xmlns:a="http://schemas.openxmlformats.org/drawingml/2006/main">
              <a:solidFill>
                <a:srgbClr val="FFF4B183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'Summary'!$D$6:$D$20</f>
            </numRef>
          </val>
        </ser>
        <ser>
          <idx val="3"/>
          <order val="3"/>
          <tx>
            <strRef>
              <f>'Summary'!$E$5</f>
            </strRef>
          </tx>
          <spPr>
            <a:solidFill xmlns:a="http://schemas.openxmlformats.org/drawingml/2006/main">
              <a:srgbClr val="FF70AD47"/>
            </a:solidFill>
            <a:ln xmlns:a="http://schemas.openxmlformats.org/drawingml/2006/main">
              <a:solidFill>
                <a:srgbClr val="FF70AD47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'Summary'!$E$6:$E$20</f>
            </numRef>
          </val>
        </ser>
        <ser>
          <idx val="4"/>
          <order val="4"/>
          <tx>
            <strRef>
              <f>'Summary'!F5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'Summary'!$F$6:$F$20</f>
            </numRef>
          </val>
        </ser>
        <gapWidth val="150"/>
        <overlap val="0"/>
        <axId val="10"/>
        <axId val="100"/>
      </barChart>
      <catAx>
        <axId val="10"/>
        <scaling>
          <orientation val="maxMin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Evaluation / Modality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  <majorUnit val="0.1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Hidden-state Macro-F1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'Turkish OS Comparison'!B6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Comparison'!$B$7:$B$9</f>
            </numRef>
          </val>
        </ser>
        <ser>
          <idx val="1"/>
          <order val="1"/>
          <tx>
            <strRef>
              <f>'Turkish OS Comparison'!C6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Comparison'!$C$7:$C$9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Hidden-state Negative Recall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'Turkish OS Comparison'!E6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Comparison'!$E$7:$E$9</f>
            </numRef>
          </val>
        </ser>
        <ser>
          <idx val="1"/>
          <order val="1"/>
          <tx>
            <strRef>
              <f>'Turkish OS Comparison'!F6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Negative recall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DAIC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'DAIC PosF1 Graph'!$B$4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Graph'!$B$5:$B$7</f>
              <numCache/>
            </numRef>
          </val>
        </ser>
        <ser>
          <idx val="1"/>
          <order val="1"/>
          <tx>
            <strRef>
              <f>'DAIC PosF1 Graph'!$C$4</f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Graph'!$C$5:$C$7</f>
              <numCache/>
            </numRef>
          </val>
        </ser>
        <ser>
          <idx val="2"/>
          <order val="2"/>
          <tx>
            <strRef>
              <f>'DAIC PosF1 Graph'!$D$4</f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Graph'!$D$5:$D$7</f>
              <numCache/>
            </numRef>
          </val>
        </ser>
        <gapWidth val="150"/>
        <axId val="1407505873"/>
        <axId val="1272250681"/>
      </barChart>
      <catAx>
        <axId val="1407505873"/>
        <scaling>
          <orientation val="maxMin"/>
          <max val="1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72250681"/>
        <lblOffset val="100"/>
      </catAx>
      <valAx>
        <axId val="1272250681"/>
        <scaling>
          <orientation val="minMax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07505873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CMDC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'CMDC PosF1 Graph'!$B$4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Graph'!$B$5:$B$7</f>
              <numCache/>
            </numRef>
          </val>
        </ser>
        <ser>
          <idx val="1"/>
          <order val="1"/>
          <tx>
            <strRef>
              <f>'CMDC PosF1 Graph'!$C$4</f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Graph'!$C$5:$C$7</f>
              <numCache/>
            </numRef>
          </val>
        </ser>
        <ser>
          <idx val="2"/>
          <order val="2"/>
          <tx>
            <strRef>
              <f>'CMDC PosF1 Graph'!$D$4</f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Graph'!$D$5:$D$7</f>
              <numCache/>
            </numRef>
          </val>
        </ser>
        <gapWidth val="150"/>
        <axId val="1775813306"/>
        <axId val="1878878490"/>
      </barChart>
      <catAx>
        <axId val="1775813306"/>
        <scaling>
          <orientation val="maxMin"/>
          <max val="1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878490"/>
        <lblOffset val="100"/>
      </catAx>
      <valAx>
        <axId val="1878878490"/>
        <scaling>
          <orientation val="minMax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75813306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Androids Interview Positive F1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'Androids PosF1 Graph'!B4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'Androids PosF1 Graph'!$A$5:$A$7</f>
            </numRef>
          </cat>
          <val>
            <numRef>
              <f>'Androids PosF1 Graph'!$B$5:$B$7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Positive F1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Modality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8280000" cy="41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18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7</row>
      <rowOff>38100</rowOff>
    </from>
    <ext cx="5753100" cy="2876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7</row>
      <rowOff>85725</rowOff>
    </from>
    <ext cx="5753100" cy="2876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9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1" displayName="Table1" ref="A1:J37" headerRowCount="1">
  <tableColumns count="10">
    <tableColumn id="1" name="Dataset"/>
    <tableColumn id="2" name="Modality"/>
    <tableColumn id="3" name="Classifier Variant"/>
    <tableColumn id="4" name="Accuracy"/>
    <tableColumn id="5" name="Positive F1"/>
    <tableColumn id="6" name="Recall"/>
    <tableColumn id="7" name="Precision"/>
    <tableColumn id="8" name="Macro F1"/>
    <tableColumn id="9" name="AUROC"/>
    <tableColumn id="10" name="Confusion Matrix"/>
  </tableColumns>
  <tableStyleInfo name="XGBoost Head-style" showFirstColumn="1" showLastColumn="1" showRowStripes="1" showColumnStripes="0"/>
</table>
</file>

<file path=xl/tables/table2.xml><?xml version="1.0" encoding="utf-8"?>
<table xmlns="http://schemas.openxmlformats.org/spreadsheetml/2006/main" id="2" name="Table_1" displayName="Table_1" ref="A4:M55" headerRowCount="1">
  <tableColumns count="13">
    <tableColumn id="1" name="Dataset"/>
    <tableColumn id="2" name="Source"/>
    <tableColumn id="3" name="Modality"/>
    <tableColumn id="4" name="Method / Classifier"/>
    <tableColumn id="5" name="Accuracy"/>
    <tableColumn id="6" name="Positive F1"/>
    <tableColumn id="7" name="Precision"/>
    <tableColumn id="8" name="Recall"/>
    <tableColumn id="9" name="Macro F1"/>
    <tableColumn id="10" name="Negative F1"/>
    <tableColumn id="11" name="AUROC"/>
    <tableColumn id="12" name="All-Positive Baseline F1"/>
    <tableColumn id="13" name="Confusion Matrix"/>
  </tableColumns>
  <tableStyleInfo name="Combined Result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F23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18" customWidth="1" style="119" min="2" max="2"/>
    <col width="18" customWidth="1" style="119" min="3" max="3"/>
    <col width="18" customWidth="1" style="119" min="4" max="4"/>
    <col width="18" customWidth="1" style="119" min="5" max="5"/>
    <col width="24" customWidth="1" style="119" min="6" max="6"/>
  </cols>
  <sheetData>
    <row r="1" ht="32" customHeight="1" s="119">
      <c r="A1" s="172" t="inlineStr">
        <is>
          <t>Depression Detection — Macro-F1 Summary</t>
        </is>
      </c>
    </row>
    <row r="2" ht="20" customHeight="1" s="119">
      <c r="A2" s="173" t="inlineStr">
        <is>
          <t>Macro-F1 only; higher is better. Paper scores from different evaluation sets are excluded. Blank cells mean that a comparable classifier result is unavailable. Turkish hidden-state heads use BDI&gt;=17 table-aligned outer validation. Subject-OS values are three-seed means; the matched Qwen pilot did not clear the Stage-5 gate.</t>
        </is>
      </c>
    </row>
    <row r="3" ht="20" customHeight="1" s="119"/>
    <row r="5" ht="25" customHeight="1" s="119">
      <c r="A5" s="174" t="inlineStr">
        <is>
          <t>Evaluation / Modality</t>
        </is>
      </c>
      <c r="B5" s="174" t="inlineStr">
        <is>
          <t>Fine-tuned Qwen</t>
        </is>
      </c>
      <c r="C5" s="174" t="inlineStr">
        <is>
          <t>LogReg head</t>
        </is>
      </c>
      <c r="D5" s="174" t="inlineStr">
        <is>
          <t>XGBoost fixed</t>
        </is>
      </c>
      <c r="E5" s="174" t="inlineStr">
        <is>
          <t>XGBoost Optuna</t>
        </is>
      </c>
      <c r="F5" s="174" t="inlineStr">
        <is>
          <t>XGBoost Subject OS
(3-seed mean)</t>
        </is>
      </c>
    </row>
    <row r="6" ht="21" customHeight="1" s="119">
      <c r="A6" s="175" t="inlineStr">
        <is>
          <t>DAIC — Audio + Text</t>
        </is>
      </c>
      <c r="B6" s="176" t="n">
        <v>0.759</v>
      </c>
      <c r="C6" s="177" t="n">
        <v>0.840678</v>
      </c>
      <c r="D6" s="176" t="n">
        <v>0.725729</v>
      </c>
      <c r="E6" s="176" t="n">
        <v>0.766169</v>
      </c>
      <c r="F6" s="176" t="n"/>
    </row>
    <row r="7" ht="21" customHeight="1" s="119">
      <c r="A7" s="175" t="inlineStr">
        <is>
          <t>DAIC — Audio only</t>
        </is>
      </c>
      <c r="B7" s="176" t="n">
        <v>0.666</v>
      </c>
      <c r="C7" s="176" t="n">
        <v>0.704116</v>
      </c>
      <c r="D7" s="177" t="n">
        <v>0.714207</v>
      </c>
      <c r="E7" s="176" t="n">
        <v>0.7102889999999999</v>
      </c>
      <c r="F7" s="176" t="n"/>
    </row>
    <row r="8" ht="21" customHeight="1" s="119">
      <c r="A8" s="175" t="inlineStr">
        <is>
          <t>DAIC — Text only</t>
        </is>
      </c>
      <c r="B8" s="176" t="n">
        <v>0.787</v>
      </c>
      <c r="C8" s="177" t="n">
        <v>0.818132</v>
      </c>
      <c r="D8" s="176" t="n">
        <v>0.78733</v>
      </c>
      <c r="E8" s="177" t="n">
        <v>0.818132</v>
      </c>
      <c r="F8" s="177" t="n"/>
    </row>
    <row r="9" ht="21" customHeight="1" s="119">
      <c r="A9" s="178" t="inlineStr">
        <is>
          <t>CMDC — Audio + Text</t>
        </is>
      </c>
      <c r="B9" s="179" t="n">
        <v>0.905</v>
      </c>
      <c r="C9" s="177" t="n">
        <v>0.985434</v>
      </c>
      <c r="D9" s="179" t="n">
        <v>0.970566</v>
      </c>
      <c r="E9" s="177" t="n">
        <v>0.985434</v>
      </c>
      <c r="F9" s="177" t="n"/>
    </row>
    <row r="10" ht="21" customHeight="1" s="119">
      <c r="A10" s="178" t="inlineStr">
        <is>
          <t>CMDC — Audio only</t>
        </is>
      </c>
      <c r="B10" s="179" t="n">
        <v>0.9399999999999999</v>
      </c>
      <c r="C10" s="177" t="n">
        <v>0.985434</v>
      </c>
      <c r="D10" s="177" t="n">
        <v>0.985434</v>
      </c>
      <c r="E10" s="177" t="n">
        <v>0.985434</v>
      </c>
      <c r="F10" s="177" t="n"/>
    </row>
    <row r="11" ht="21" customHeight="1" s="119">
      <c r="A11" s="178" t="inlineStr">
        <is>
          <t>CMDC — Text only</t>
        </is>
      </c>
      <c r="B11" s="179" t="n">
        <v>0.927</v>
      </c>
      <c r="C11" s="177" t="n">
        <v>0.985434</v>
      </c>
      <c r="D11" s="179" t="n">
        <v>0.970566</v>
      </c>
      <c r="E11" s="179" t="n">
        <v>0.971154</v>
      </c>
      <c r="F11" s="179" t="n"/>
    </row>
    <row r="12" ht="21" customHeight="1" s="119">
      <c r="A12" s="180" t="inlineStr">
        <is>
          <t>Turkish (BDI≥17) — Audio + Text</t>
        </is>
      </c>
      <c r="B12" s="181" t="n">
        <v>0.488</v>
      </c>
      <c r="C12" s="181" t="n">
        <v>0.498433</v>
      </c>
      <c r="D12" s="181" t="n">
        <v>0.435231</v>
      </c>
      <c r="E12" s="177" t="n">
        <v>0.536134</v>
      </c>
      <c r="F12" s="177" t="n">
        <v>0.4726931014897003</v>
      </c>
    </row>
    <row r="13" ht="21" customHeight="1" s="119">
      <c r="A13" s="180" t="inlineStr">
        <is>
          <t>Turkish (BDI≥17) — Audio only</t>
        </is>
      </c>
      <c r="B13" s="177" t="n">
        <v>0.613</v>
      </c>
      <c r="C13" s="181" t="n">
        <v>0.577778</v>
      </c>
      <c r="D13" s="181" t="n">
        <v>0.49</v>
      </c>
      <c r="E13" s="181" t="n">
        <v>0.557453</v>
      </c>
      <c r="F13" s="181" t="n">
        <v>0.5244446576909753</v>
      </c>
    </row>
    <row r="14" ht="21" customHeight="1" s="119">
      <c r="A14" s="180" t="inlineStr">
        <is>
          <t>Turkish (BDI≥17) — Text only</t>
        </is>
      </c>
      <c r="B14" s="181" t="n">
        <v>0.512</v>
      </c>
      <c r="C14" s="181" t="n">
        <v>0.555556</v>
      </c>
      <c r="D14" s="177" t="n">
        <v>0.623016</v>
      </c>
      <c r="E14" s="181" t="n">
        <v>0.604021</v>
      </c>
      <c r="F14" s="181" t="n">
        <v>0.5996362688219362</v>
      </c>
    </row>
    <row r="15" ht="21" customHeight="1" s="119">
      <c r="A15" s="180" t="inlineStr">
        <is>
          <t>D3TEC (Spanish) — Audio + Text</t>
        </is>
      </c>
      <c r="B15" s="199" t="n">
        <v>0.5679442508710801</v>
      </c>
      <c r="C15" s="181" t="n">
        <v>0.5643243243243243</v>
      </c>
      <c r="D15" s="181" t="n">
        <v>0.5107482993197279</v>
      </c>
      <c r="E15" s="200" t="n">
        <v>0.5503626107977437</v>
      </c>
      <c r="F15" s="200" t="inlineStr">
        <is>
          <t>N/A</t>
        </is>
      </c>
    </row>
    <row r="16" ht="21" customHeight="1" s="119">
      <c r="A16" s="180" t="inlineStr">
        <is>
          <t>D3TEC (Spanish) — Audio only</t>
        </is>
      </c>
      <c r="B16" s="177" t="n">
        <v>0.5694444444444444</v>
      </c>
      <c r="C16" s="181" t="n">
        <v>0.5588932806324111</v>
      </c>
      <c r="D16" s="181" t="n">
        <v>0.5441176470588235</v>
      </c>
      <c r="E16" s="181" t="n">
        <v>0.5694444444444444</v>
      </c>
      <c r="F16" s="181" t="inlineStr">
        <is>
          <t>N/A</t>
        </is>
      </c>
    </row>
    <row r="17" ht="21" customHeight="1" s="119">
      <c r="A17" s="180" t="inlineStr">
        <is>
          <t>D3TEC (Spanish) — Text only</t>
        </is>
      </c>
      <c r="B17" s="199" t="n">
        <v>0.5032051282051282</v>
      </c>
      <c r="C17" s="181" t="n">
        <v>0.5802083333333332</v>
      </c>
      <c r="D17" s="200" t="n">
        <v>0.4817136886102403</v>
      </c>
      <c r="E17" s="181" t="n">
        <v>0.5262187088274044</v>
      </c>
      <c r="F17" s="181" t="inlineStr">
        <is>
          <t>N/A</t>
        </is>
      </c>
    </row>
    <row r="18">
      <c r="A18" s="180" t="inlineStr">
        <is>
          <t>Androids Interview — Audio only</t>
        </is>
      </c>
      <c r="B18" s="181" t="n">
        <v>0.8950226244343892</v>
      </c>
      <c r="C18" s="181" t="n"/>
      <c r="D18" s="181" t="n"/>
      <c r="E18" s="181" t="n"/>
      <c r="F18" s="181" t="n"/>
    </row>
    <row r="19" ht="21" customHeight="1" s="119">
      <c r="A19" s="180" t="inlineStr">
        <is>
          <t>Androids Interview — Audio + Text</t>
        </is>
      </c>
      <c r="B19" s="181" t="n">
        <v>0.84366576819407</v>
      </c>
      <c r="C19" s="181" t="n"/>
      <c r="D19" s="181" t="n"/>
      <c r="E19" s="181" t="n"/>
      <c r="F19" s="181" t="n"/>
    </row>
    <row r="20" ht="21" customHeight="1" s="119">
      <c r="A20" s="180" t="inlineStr">
        <is>
          <t>Androids Interview — Text only</t>
        </is>
      </c>
      <c r="B20" s="181" t="n">
        <v>0.8695163104611923</v>
      </c>
      <c r="C20" s="181" t="n"/>
      <c r="D20" s="181" t="n"/>
      <c r="E20" s="181" t="n"/>
      <c r="F20" s="181" t="n"/>
    </row>
    <row r="21" ht="21" customHeight="1" s="119"/>
    <row r="22" ht="21" customHeight="1" s="119">
      <c r="A22" s="180" t="inlineStr">
        <is>
          <t>Reading note: DAIC and CMDC were tuned using positive F1; Turkish and D3TEC were selected using Macro-F1. D3TEC audio checkpoints and hidden heads use response-normalized segments with equal response votes; Subject OS is outside this experiment. Androids Interview uses Qwen output scores; no separate classifier-head comparison was run.</t>
        </is>
      </c>
      <c r="B22" s="201" t="n"/>
      <c r="C22" s="201" t="n"/>
      <c r="D22" s="201" t="n"/>
      <c r="E22" s="202" t="n"/>
    </row>
    <row r="23" ht="21" customHeight="1" s="119">
      <c r="A23" s="203" t="n"/>
      <c r="B23" s="204" t="n"/>
      <c r="C23" s="204" t="n"/>
      <c r="D23" s="204" t="n"/>
      <c r="E23" s="205" t="n"/>
    </row>
    <row r="24" ht="21" customHeight="1" s="119"/>
    <row r="25" ht="21" customHeight="1" s="119"/>
  </sheetData>
  <autoFilter ref="A5:F20"/>
  <mergeCells count="4">
    <mergeCell ref="A2:F2"/>
    <mergeCell ref="A2:E3"/>
    <mergeCell ref="A1:E1"/>
    <mergeCell ref="A22:E23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96"/>
  <sheetViews>
    <sheetView workbookViewId="0">
      <selection activeCell="A1" sqref="A1"/>
    </sheetView>
  </sheetViews>
  <sheetFormatPr baseColWidth="8" defaultColWidth="14.43" defaultRowHeight="15" customHeight="1"/>
  <cols>
    <col width="17" customWidth="1" style="119" min="1" max="1"/>
    <col width="22" customWidth="1" style="119" min="2" max="2"/>
    <col width="9" customWidth="1" style="119" min="3" max="4"/>
    <col width="11" customWidth="1" style="119" min="5" max="5"/>
    <col width="9" customWidth="1" style="119" min="6" max="6"/>
    <col width="10" customWidth="1" style="119" min="7" max="7"/>
    <col width="9" customWidth="1" style="119" min="8" max="8"/>
    <col width="13" customWidth="1" style="119" min="9" max="9"/>
  </cols>
  <sheetData>
    <row r="1" ht="21.75" customHeight="1" s="119">
      <c r="A1" s="2" t="inlineStr">
        <is>
          <t>Dataset</t>
        </is>
      </c>
      <c r="B1" s="2" t="inlineStr">
        <is>
          <t>Method</t>
        </is>
      </c>
      <c r="C1" s="2" t="inlineStr">
        <is>
          <t>ACC</t>
        </is>
      </c>
      <c r="D1" s="2" t="inlineStr">
        <is>
          <t>F1</t>
        </is>
      </c>
      <c r="E1" s="2" t="inlineStr">
        <is>
          <t>Precision</t>
        </is>
      </c>
      <c r="F1" s="2" t="inlineStr">
        <is>
          <t>Recall</t>
        </is>
      </c>
      <c r="G1" s="2" t="inlineStr">
        <is>
          <t>MacroF1</t>
        </is>
      </c>
      <c r="H1" s="2" t="inlineStr">
        <is>
          <t>NegF1</t>
        </is>
      </c>
      <c r="I1" s="2" t="inlineStr">
        <is>
          <t>AllPosBaseF1</t>
        </is>
      </c>
    </row>
    <row r="2">
      <c r="A2" s="120" t="inlineStr">
        <is>
          <t>DAIC</t>
        </is>
      </c>
      <c r="B2" s="24" t="inlineStr">
        <is>
          <t>Audio + Text (our)</t>
        </is>
      </c>
      <c r="C2" s="26" t="n">
        <v>0.766</v>
      </c>
      <c r="D2" s="26" t="n">
        <v>0.718</v>
      </c>
      <c r="E2" s="26" t="n">
        <v>0.5600000000000001</v>
      </c>
      <c r="F2" s="26" t="n">
        <v>1</v>
      </c>
      <c r="G2" s="26" t="n">
        <v>0.759</v>
      </c>
      <c r="H2" s="26" t="n">
        <v>0.8</v>
      </c>
      <c r="I2" s="26" t="n">
        <v>0.459</v>
      </c>
    </row>
    <row r="3">
      <c r="A3" s="121" t="n"/>
      <c r="B3" s="24" t="inlineStr">
        <is>
          <t>Audio only (our)</t>
        </is>
      </c>
      <c r="C3" s="26" t="n">
        <v>0.681</v>
      </c>
      <c r="D3" s="26" t="n">
        <v>0.595</v>
      </c>
      <c r="E3" s="26" t="n">
        <v>0.478</v>
      </c>
      <c r="F3" s="26" t="n">
        <v>0.786</v>
      </c>
      <c r="G3" s="26" t="n">
        <v>0.666</v>
      </c>
      <c r="H3" s="26" t="n">
        <v>0.737</v>
      </c>
      <c r="I3" s="26" t="n">
        <v>0.459</v>
      </c>
    </row>
    <row r="4">
      <c r="A4" s="120" t="n"/>
      <c r="B4" s="24" t="inlineStr">
        <is>
          <t>Text only (our)</t>
        </is>
      </c>
      <c r="C4" s="26" t="n">
        <v>0.83</v>
      </c>
      <c r="D4" s="26" t="n">
        <v>0.6919999999999999</v>
      </c>
      <c r="E4" s="26" t="n">
        <v>0.75</v>
      </c>
      <c r="F4" s="26" t="n">
        <v>0.643</v>
      </c>
      <c r="G4" s="26" t="n">
        <v>0.787</v>
      </c>
      <c r="H4" s="26" t="n">
        <v>0.882</v>
      </c>
      <c r="I4" s="26" t="n">
        <v>0.459</v>
      </c>
    </row>
    <row r="5">
      <c r="A5" s="120" t="inlineStr">
        <is>
          <t>CMDC</t>
        </is>
      </c>
      <c r="B5" s="49" t="inlineStr">
        <is>
          <t>Audio + Text (our)</t>
        </is>
      </c>
      <c r="C5" s="50" t="n">
        <v>0.908</v>
      </c>
      <c r="D5" s="50" t="n">
        <v>0.896</v>
      </c>
      <c r="E5" s="50" t="n">
        <v>0.871</v>
      </c>
      <c r="F5" s="50" t="n">
        <v>0.96</v>
      </c>
      <c r="G5" s="50" t="n">
        <v>0.905</v>
      </c>
      <c r="H5" s="50" t="n">
        <v>0.914</v>
      </c>
      <c r="I5" s="50" t="n">
        <v>0.5</v>
      </c>
    </row>
    <row r="6">
      <c r="A6" s="121" t="n"/>
      <c r="B6" s="49" t="inlineStr">
        <is>
          <t>Audio only (our)</t>
        </is>
      </c>
      <c r="C6" s="50" t="n">
        <v>0.949</v>
      </c>
      <c r="D6" s="50" t="n">
        <v>0.918</v>
      </c>
      <c r="E6" s="50" t="n">
        <v>0.971</v>
      </c>
      <c r="F6" s="50" t="n">
        <v>0.88</v>
      </c>
      <c r="G6" s="50" t="n">
        <v>0.9399999999999999</v>
      </c>
      <c r="H6" s="50" t="n">
        <v>0.962</v>
      </c>
      <c r="I6" s="50" t="n">
        <v>0.5</v>
      </c>
    </row>
    <row r="7">
      <c r="A7" s="120" t="n"/>
      <c r="B7" s="49" t="inlineStr">
        <is>
          <t>Text only (our)</t>
        </is>
      </c>
      <c r="C7" s="50" t="n">
        <v>0.9360000000000001</v>
      </c>
      <c r="D7" s="50" t="n">
        <v>0.904</v>
      </c>
      <c r="E7" s="50" t="n">
        <v>0.9429999999999999</v>
      </c>
      <c r="F7" s="50" t="n">
        <v>0.887</v>
      </c>
      <c r="G7" s="50" t="n">
        <v>0.927</v>
      </c>
      <c r="H7" s="50" t="n">
        <v>0.95</v>
      </c>
      <c r="I7" s="50" t="n">
        <v>0.5</v>
      </c>
    </row>
    <row r="8" s="119">
      <c r="A8" s="122" t="inlineStr">
        <is>
          <t>Turkish (BDI≥17)</t>
        </is>
      </c>
      <c r="B8" s="54" t="inlineStr">
        <is>
          <t>Audio + Text (our)</t>
        </is>
      </c>
      <c r="C8" s="55" t="n">
        <v>0.6929999999999999</v>
      </c>
      <c r="D8" s="55" t="n">
        <v>0.8090000000000001</v>
      </c>
      <c r="E8" s="55" t="n">
        <v>0.715</v>
      </c>
      <c r="F8" s="55" t="n">
        <v>0.9399999999999999</v>
      </c>
      <c r="G8" s="55" t="n">
        <v>0.488</v>
      </c>
      <c r="H8" s="55" t="n">
        <v>0.167</v>
      </c>
      <c r="I8" s="55" t="n">
        <v>0.8179999999999999</v>
      </c>
    </row>
    <row r="9" s="119">
      <c r="A9" s="121" t="n"/>
      <c r="B9" s="54" t="inlineStr">
        <is>
          <t>Audio only (our)</t>
        </is>
      </c>
      <c r="C9" s="55" t="n">
        <v>0.759</v>
      </c>
      <c r="D9" s="55" t="n">
        <v>0.847</v>
      </c>
      <c r="E9" s="55" t="n">
        <v>0.76</v>
      </c>
      <c r="F9" s="55" t="n">
        <v>0.965</v>
      </c>
      <c r="G9" s="55" t="n">
        <v>0.613</v>
      </c>
      <c r="H9" s="55" t="n">
        <v>0.379</v>
      </c>
      <c r="I9" s="55" t="n">
        <v>0.8179999999999999</v>
      </c>
    </row>
    <row r="10" s="119">
      <c r="A10" s="120" t="n"/>
      <c r="B10" s="54" t="inlineStr">
        <is>
          <t>Text only (our)</t>
        </is>
      </c>
      <c r="C10" s="55" t="n">
        <v>0.709</v>
      </c>
      <c r="D10" s="55" t="n">
        <v>0.821</v>
      </c>
      <c r="E10" s="55" t="n">
        <v>0.716</v>
      </c>
      <c r="F10" s="55" t="n">
        <v>0.964</v>
      </c>
      <c r="G10" s="55" t="n">
        <v>0.512</v>
      </c>
      <c r="H10" s="55" t="n">
        <v>0.203</v>
      </c>
      <c r="I10" s="55" t="n">
        <v>0.8179999999999999</v>
      </c>
    </row>
    <row r="11" s="119">
      <c r="A11" s="122" t="inlineStr">
        <is>
          <t>D3TEC (Spanish)</t>
        </is>
      </c>
      <c r="B11" s="54" t="inlineStr">
        <is>
          <t>Audio + Text (our, response-normalized)</t>
        </is>
      </c>
      <c r="C11" s="55" t="n">
        <v>0.6129032258064516</v>
      </c>
      <c r="D11" s="55" t="n">
        <v>0.4285714285714286</v>
      </c>
      <c r="E11" s="55" t="n">
        <v>0.6923076923076923</v>
      </c>
      <c r="F11" s="55" t="n">
        <v>0.3103448275862069</v>
      </c>
      <c r="G11" s="55" t="n">
        <v>0.5679442508710801</v>
      </c>
      <c r="H11" s="55" t="n">
        <v>0.7073170731707317</v>
      </c>
      <c r="I11" s="55" t="n">
        <v>0.6373626373626373</v>
      </c>
    </row>
    <row r="12" s="119">
      <c r="A12" s="121" t="n"/>
      <c r="B12" s="54" t="inlineStr">
        <is>
          <t>Audio only (our, response-normalized)</t>
        </is>
      </c>
      <c r="C12" s="55" t="n">
        <v>0.5806451612903226</v>
      </c>
      <c r="D12" s="55" t="n">
        <v>0.4999999999999999</v>
      </c>
      <c r="E12" s="55" t="n">
        <v>0.5652173913043478</v>
      </c>
      <c r="F12" s="55" t="n">
        <v>0.4482758620689655</v>
      </c>
      <c r="G12" s="55" t="n">
        <v>0.5694444444444444</v>
      </c>
      <c r="H12" s="55" t="n">
        <v>0.6388888888888888</v>
      </c>
      <c r="I12" s="55" t="n">
        <v>0.6373626373626373</v>
      </c>
    </row>
    <row r="13" s="119">
      <c r="A13" s="120" t="n"/>
      <c r="B13" s="54" t="inlineStr">
        <is>
          <t>Text only (our)</t>
        </is>
      </c>
      <c r="C13" s="55" t="n">
        <v>0.5161290322580645</v>
      </c>
      <c r="D13" s="55" t="n">
        <v>0.4230769230769231</v>
      </c>
      <c r="E13" s="55" t="n">
        <v>0.4782608695652174</v>
      </c>
      <c r="F13" s="55" t="n">
        <v>0.3793103448275862</v>
      </c>
      <c r="G13" s="55" t="n">
        <v>0.5032051282051282</v>
      </c>
      <c r="H13" s="55" t="n">
        <v>0.5833333333333333</v>
      </c>
      <c r="I13" s="55" t="n">
        <v>0.6373626373626373</v>
      </c>
    </row>
    <row r="14" s="119">
      <c r="A14" s="122" t="inlineStr">
        <is>
          <t>Androids Interview</t>
        </is>
      </c>
      <c r="B14" s="54" t="inlineStr">
        <is>
          <t>Audio only (our)</t>
        </is>
      </c>
      <c r="C14" s="55" t="n">
        <v>0.896551724137931</v>
      </c>
      <c r="D14" s="55" t="n">
        <v>0.9076923076923077</v>
      </c>
      <c r="E14" s="55" t="n">
        <v>0.8939393939393939</v>
      </c>
      <c r="F14" s="55" t="n">
        <v>0.921875</v>
      </c>
      <c r="G14" s="55" t="n">
        <v>0.8950226244343892</v>
      </c>
      <c r="H14" s="55" t="n">
        <v>0.8823529411764706</v>
      </c>
      <c r="I14" s="55" t="n">
        <v>0.5517241379310345</v>
      </c>
    </row>
    <row r="15" s="119">
      <c r="A15" s="121" t="n"/>
      <c r="B15" s="54" t="inlineStr">
        <is>
          <t>Audio + Text (our)</t>
        </is>
      </c>
      <c r="C15" s="55" t="n">
        <v>0.8448275862068966</v>
      </c>
      <c r="D15" s="55" t="n">
        <v>0.8571428571428571</v>
      </c>
      <c r="E15" s="55" t="n">
        <v>0.8709677419354839</v>
      </c>
      <c r="F15" s="55" t="n">
        <v>0.84375</v>
      </c>
      <c r="G15" s="55" t="n">
        <v>0.84366576819407</v>
      </c>
      <c r="H15" s="55" t="n">
        <v>0.8301886792452831</v>
      </c>
      <c r="I15" s="55" t="n">
        <v>0.5517241379310345</v>
      </c>
    </row>
    <row r="16" s="119">
      <c r="A16" s="120" t="n"/>
      <c r="B16" s="54" t="inlineStr">
        <is>
          <t>Text only (our)</t>
        </is>
      </c>
      <c r="C16" s="55" t="n">
        <v>0.8706896551724138</v>
      </c>
      <c r="D16" s="55" t="n">
        <v>0.8818897637795274</v>
      </c>
      <c r="E16" s="55" t="n">
        <v>0.8888888888888888</v>
      </c>
      <c r="F16" s="55" t="n">
        <v>0.875</v>
      </c>
      <c r="G16" s="55" t="n">
        <v>0.8695163104611923</v>
      </c>
      <c r="H16" s="55" t="n">
        <v>0.8571428571428571</v>
      </c>
      <c r="I16" s="55" t="n">
        <v>0.5517241379310345</v>
      </c>
    </row>
    <row r="17" s="119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</row>
    <row r="997" ht="15.75" customHeight="1" s="119"/>
    <row r="998" ht="15.75" customHeight="1" s="119"/>
    <row r="999" ht="15.75" customHeight="1" s="119"/>
    <row r="1000" ht="15.75" customHeight="1" s="119"/>
  </sheetData>
  <mergeCells count="5">
    <mergeCell ref="A8:A10"/>
    <mergeCell ref="A2:A4"/>
    <mergeCell ref="A11:A13"/>
    <mergeCell ref="A5:A7"/>
    <mergeCell ref="A14:A16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119" min="1" max="1"/>
    <col width="14.43" customWidth="1" style="119" min="2" max="6"/>
    <col width="17.86" customWidth="1" style="119" min="12" max="12"/>
  </cols>
  <sheetData>
    <row r="1">
      <c r="A1" s="1" t="inlineStr">
        <is>
          <t>Experiment</t>
        </is>
      </c>
      <c r="B1" s="1" t="inlineStr">
        <is>
          <t>Modality</t>
        </is>
      </c>
      <c r="C1" s="1" t="inlineStr">
        <is>
          <t>Eval Dataset</t>
        </is>
      </c>
      <c r="D1" s="1" t="inlineStr">
        <is>
          <t>Eval Split</t>
        </is>
      </c>
      <c r="E1" s="1" t="inlineStr">
        <is>
          <t>ACC</t>
        </is>
      </c>
      <c r="F1" s="1" t="inlineStr">
        <is>
          <t>Pos F1</t>
        </is>
      </c>
      <c r="G1" s="1" t="inlineStr">
        <is>
          <t>Precision</t>
        </is>
      </c>
      <c r="H1" s="1" t="inlineStr">
        <is>
          <t>Recall</t>
        </is>
      </c>
      <c r="I1" s="1" t="inlineStr">
        <is>
          <t>Macro F1</t>
        </is>
      </c>
      <c r="J1" s="1" t="inlineStr">
        <is>
          <t>Support Neg</t>
        </is>
      </c>
      <c r="K1" s="1" t="inlineStr">
        <is>
          <t>Support Pos</t>
        </is>
      </c>
      <c r="L1" s="1" t="inlineStr">
        <is>
          <t>Confusion Matrix</t>
        </is>
      </c>
      <c r="M1" s="1" t="inlineStr">
        <is>
          <t>Selected Epoch</t>
        </is>
      </c>
      <c r="N1" s="1" t="inlineStr">
        <is>
          <t>Notes</t>
        </is>
      </c>
    </row>
    <row r="2">
      <c r="A2" s="3" t="inlineStr">
        <is>
          <t>Joint DAIC+CMDC</t>
        </is>
      </c>
      <c r="B2" s="5" t="inlineStr">
        <is>
          <t>Audio only</t>
        </is>
      </c>
      <c r="C2" s="7" t="inlineStr">
        <is>
          <t>DAIC</t>
        </is>
      </c>
      <c r="D2" s="7" t="inlineStr">
        <is>
          <t>test</t>
        </is>
      </c>
      <c r="E2" s="9" t="n">
        <v>0.404</v>
      </c>
      <c r="F2" s="9" t="n">
        <v>0.5</v>
      </c>
      <c r="G2" s="9" t="n">
        <v>0.333</v>
      </c>
      <c r="H2" s="9" t="n">
        <v>1</v>
      </c>
      <c r="I2" s="9" t="n">
        <v>0.382</v>
      </c>
      <c r="J2" s="9" t="n">
        <v>33</v>
      </c>
      <c r="K2" s="9" t="n">
        <v>14</v>
      </c>
      <c r="L2" s="7" t="inlineStr">
        <is>
          <t>[[5,28],[0,14]]</t>
        </is>
      </c>
      <c r="M2" s="9" t="n">
        <v>1</v>
      </c>
      <c r="N2" s="12" t="inlineStr">
        <is>
          <t>Checkpoint selected by mean DAIC-val / CMDC-inner-val pos F1</t>
        </is>
      </c>
    </row>
    <row r="3">
      <c r="C3" s="7" t="inlineStr">
        <is>
          <t>CMDC</t>
        </is>
      </c>
      <c r="D3" s="7" t="inlineStr">
        <is>
          <t>fold-0 holdout</t>
        </is>
      </c>
      <c r="E3" s="9" t="n">
        <v>0.588</v>
      </c>
      <c r="F3" s="9" t="n">
        <v>0.632</v>
      </c>
      <c r="G3" s="9" t="n">
        <v>0.462</v>
      </c>
      <c r="H3" s="9" t="n">
        <v>1</v>
      </c>
      <c r="I3" s="9" t="n">
        <v>0.582</v>
      </c>
      <c r="J3" s="9" t="n">
        <v>11</v>
      </c>
      <c r="K3" s="9" t="n">
        <v>6</v>
      </c>
      <c r="L3" s="7" t="inlineStr">
        <is>
          <t>[[4,7],[0,6]]</t>
        </is>
      </c>
      <c r="M3" s="9" t="n">
        <v>1</v>
      </c>
      <c r="N3" s="12" t="inlineStr">
        <is>
          <t>CMDC fold-0 holdout excluded from training and selection</t>
        </is>
      </c>
    </row>
    <row r="4">
      <c r="B4" s="18" t="inlineStr">
        <is>
          <t>Text only</t>
        </is>
      </c>
      <c r="C4" s="20" t="inlineStr">
        <is>
          <t>DAIC</t>
        </is>
      </c>
      <c r="D4" s="20" t="inlineStr">
        <is>
          <t>test</t>
        </is>
      </c>
      <c r="E4" s="21" t="n">
        <v>0.8090000000000001</v>
      </c>
      <c r="F4" s="21" t="n">
        <v>0.757</v>
      </c>
      <c r="G4" s="21" t="n">
        <v>0.609</v>
      </c>
      <c r="H4" s="21" t="n">
        <v>1</v>
      </c>
      <c r="I4" s="21" t="n">
        <v>0.799</v>
      </c>
      <c r="J4" s="21" t="n">
        <v>33</v>
      </c>
      <c r="K4" s="21" t="n">
        <v>14</v>
      </c>
      <c r="L4" s="20" t="inlineStr">
        <is>
          <t>[[24,9],[0,14]]</t>
        </is>
      </c>
      <c r="M4" s="21" t="n">
        <v>2</v>
      </c>
      <c r="N4" s="23" t="inlineStr">
        <is>
          <t>Checkpoint selected by mean DAIC-val / CMDC-inner-val pos F1</t>
        </is>
      </c>
    </row>
    <row r="5">
      <c r="C5" s="20" t="inlineStr">
        <is>
          <t>CMDC</t>
        </is>
      </c>
      <c r="D5" s="20" t="inlineStr">
        <is>
          <t>fold-0 holdout</t>
        </is>
      </c>
      <c r="E5" s="21" t="n">
        <v>0.882</v>
      </c>
      <c r="F5" s="21" t="n">
        <v>0.857</v>
      </c>
      <c r="G5" s="21" t="n">
        <v>0.75</v>
      </c>
      <c r="H5" s="21" t="n">
        <v>1</v>
      </c>
      <c r="I5" s="21" t="n">
        <v>0.879</v>
      </c>
      <c r="J5" s="21" t="n">
        <v>11</v>
      </c>
      <c r="K5" s="21" t="n">
        <v>6</v>
      </c>
      <c r="L5" s="20" t="inlineStr">
        <is>
          <t>[[9,2],[0,6]]</t>
        </is>
      </c>
      <c r="M5" s="21" t="n">
        <v>2</v>
      </c>
      <c r="N5" s="23" t="inlineStr">
        <is>
          <t>CMDC fold-0 holdout excluded from training and selection</t>
        </is>
      </c>
    </row>
    <row r="6">
      <c r="B6" s="29" t="inlineStr">
        <is>
          <t>Audio+Text</t>
        </is>
      </c>
      <c r="C6" s="30" t="inlineStr">
        <is>
          <t>DAIC</t>
        </is>
      </c>
      <c r="D6" s="30" t="inlineStr">
        <is>
          <t>test</t>
        </is>
      </c>
      <c r="E6" s="32" t="n">
        <v>0.787</v>
      </c>
      <c r="F6" s="32" t="n">
        <v>0.667</v>
      </c>
      <c r="G6" s="32" t="n">
        <v>0.625</v>
      </c>
      <c r="H6" s="32" t="n">
        <v>0.714</v>
      </c>
      <c r="I6" s="32" t="n">
        <v>0.755</v>
      </c>
      <c r="J6" s="32" t="n">
        <v>33</v>
      </c>
      <c r="K6" s="32" t="n">
        <v>14</v>
      </c>
      <c r="L6" s="30" t="inlineStr">
        <is>
          <t>[[27,6],[4,10]]</t>
        </is>
      </c>
      <c r="M6" s="32" t="n">
        <v>4</v>
      </c>
      <c r="N6" s="36" t="inlineStr">
        <is>
          <t>Checkpoint selected by mean DAIC-val / CMDC-inner-val pos F1</t>
        </is>
      </c>
    </row>
    <row r="7">
      <c r="C7" s="30" t="inlineStr">
        <is>
          <t>CMDC</t>
        </is>
      </c>
      <c r="D7" s="30" t="inlineStr">
        <is>
          <t>fold-0 holdout</t>
        </is>
      </c>
      <c r="E7" s="32" t="n">
        <v>1</v>
      </c>
      <c r="F7" s="32" t="n">
        <v>1</v>
      </c>
      <c r="G7" s="32" t="n">
        <v>1</v>
      </c>
      <c r="H7" s="32" t="n">
        <v>1</v>
      </c>
      <c r="I7" s="32" t="n">
        <v>1</v>
      </c>
      <c r="J7" s="32" t="n">
        <v>11</v>
      </c>
      <c r="K7" s="32" t="n">
        <v>6</v>
      </c>
      <c r="L7" s="30" t="inlineStr">
        <is>
          <t>[[11,0],[0,6]]</t>
        </is>
      </c>
      <c r="M7" s="32" t="n">
        <v>4</v>
      </c>
      <c r="N7" s="36" t="inlineStr">
        <is>
          <t>CMDC fold-0 holdout excluded from training and selection</t>
        </is>
      </c>
    </row>
    <row r="8">
      <c r="A8" s="41" t="n"/>
      <c r="B8" s="41" t="n"/>
      <c r="C8" s="41" t="n"/>
      <c r="D8" s="41" t="n"/>
      <c r="E8" s="41" t="n"/>
      <c r="F8" s="41" t="n"/>
      <c r="L8" s="41" t="n"/>
    </row>
    <row r="9">
      <c r="A9" s="41" t="n"/>
      <c r="B9" s="41" t="n"/>
      <c r="C9" s="41" t="n"/>
      <c r="D9" s="41" t="n"/>
      <c r="E9" s="41" t="n"/>
      <c r="F9" s="41" t="n"/>
      <c r="L9" s="41" t="n"/>
    </row>
    <row r="10">
      <c r="A10" s="41" t="n"/>
      <c r="B10" s="41" t="n"/>
      <c r="C10" s="41" t="n"/>
      <c r="D10" s="41" t="n"/>
      <c r="E10" s="41" t="n"/>
      <c r="F10" s="41" t="n"/>
      <c r="L10" s="41" t="n"/>
    </row>
    <row r="11">
      <c r="A11" s="41" t="n"/>
      <c r="B11" s="41" t="n"/>
      <c r="C11" s="41" t="n"/>
      <c r="D11" s="41" t="n"/>
      <c r="E11" s="41" t="n"/>
      <c r="F11" s="41" t="n"/>
      <c r="L11" s="41" t="n"/>
    </row>
    <row r="12">
      <c r="A12" s="41" t="n"/>
      <c r="B12" s="41" t="n"/>
      <c r="C12" s="41" t="n"/>
      <c r="D12" s="41" t="n"/>
      <c r="E12" s="41" t="n"/>
      <c r="F12" s="41" t="n"/>
      <c r="L12" s="41" t="n"/>
    </row>
    <row r="13">
      <c r="A13" s="41" t="n"/>
      <c r="B13" s="41" t="n"/>
      <c r="C13" s="41" t="n"/>
      <c r="D13" s="41" t="n"/>
      <c r="E13" s="41" t="n"/>
      <c r="F13" s="41" t="n"/>
      <c r="L13" s="41" t="n"/>
    </row>
    <row r="14">
      <c r="A14" s="41" t="n"/>
      <c r="B14" s="41" t="n"/>
      <c r="C14" s="41" t="n"/>
      <c r="D14" s="41" t="n"/>
      <c r="E14" s="41" t="n"/>
      <c r="F14" s="41" t="n"/>
      <c r="L14" s="41" t="n"/>
    </row>
    <row r="15">
      <c r="A15" s="41" t="n"/>
      <c r="B15" s="41" t="n"/>
      <c r="C15" s="41" t="n"/>
      <c r="D15" s="41" t="n"/>
      <c r="E15" s="41" t="n"/>
      <c r="F15" s="41" t="n"/>
      <c r="L15" s="41" t="n"/>
    </row>
    <row r="16">
      <c r="A16" s="41" t="n"/>
      <c r="B16" s="41" t="n"/>
      <c r="C16" s="41" t="n"/>
      <c r="D16" s="41" t="n"/>
      <c r="E16" s="41" t="n"/>
      <c r="F16" s="41" t="n"/>
      <c r="L16" s="41" t="n"/>
    </row>
    <row r="17">
      <c r="A17" s="41" t="n"/>
      <c r="B17" s="41" t="n"/>
      <c r="C17" s="41" t="n"/>
      <c r="D17" s="41" t="n"/>
      <c r="E17" s="41" t="n"/>
      <c r="F17" s="41" t="n"/>
      <c r="L17" s="41" t="n"/>
    </row>
    <row r="18">
      <c r="A18" s="41" t="n"/>
      <c r="B18" s="41" t="n"/>
      <c r="C18" s="41" t="n"/>
      <c r="D18" s="41" t="n"/>
      <c r="E18" s="41" t="n"/>
      <c r="F18" s="41" t="n"/>
      <c r="L18" s="41" t="n"/>
    </row>
    <row r="19">
      <c r="A19" s="41" t="n"/>
      <c r="B19" s="41" t="n"/>
      <c r="C19" s="41" t="n"/>
      <c r="D19" s="41" t="n"/>
      <c r="E19" s="41" t="n"/>
      <c r="F19" s="41" t="n"/>
      <c r="L19" s="41" t="n"/>
    </row>
    <row r="20">
      <c r="A20" s="41" t="n"/>
      <c r="B20" s="41" t="n"/>
      <c r="C20" s="41" t="n"/>
      <c r="D20" s="41" t="n"/>
      <c r="E20" s="41" t="n"/>
      <c r="F20" s="41" t="n"/>
      <c r="L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L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L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L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L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L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L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L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L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L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L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L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L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L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L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L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L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L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L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L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L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L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L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L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L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L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L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L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L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L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L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L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L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L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L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L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L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L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L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L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L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L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L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L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L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L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L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L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L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L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L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L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L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L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L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L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L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L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L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L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L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L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L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L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L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L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L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L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L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L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L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L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L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L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L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L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L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L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L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L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L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L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L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L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L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L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L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L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L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L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L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L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L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L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L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L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L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L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L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L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L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L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L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L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L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L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L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L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L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L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L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L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L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L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L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L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L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L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L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L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L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L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L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L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L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L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L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L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L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L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L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L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L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L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L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L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L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L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L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L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L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L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L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L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L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L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L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L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L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L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L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L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L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L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L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L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L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L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L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L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L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L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L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L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L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L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L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L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L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L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L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L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L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L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L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L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L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L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L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L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L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L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L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L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L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L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L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L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L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L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L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L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L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L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L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L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L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L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L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L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L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L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L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L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L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L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L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L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L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L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L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L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L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L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L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L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L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L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L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L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L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L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L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L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L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L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L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L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L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L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L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L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L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L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L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L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L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L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L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L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L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L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L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L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L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L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L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L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L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L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L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L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L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L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L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L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L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L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L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L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L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L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L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L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L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L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L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L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L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L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L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L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L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L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L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L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L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L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L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L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L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L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L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L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L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L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L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L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L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L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L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L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L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L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L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L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L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L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L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L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L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L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L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L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L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L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L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L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L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L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L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L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L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L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L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L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L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L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L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L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L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L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L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L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L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L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L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L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L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L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L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L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L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L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L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L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L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L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L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L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L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L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L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L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L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L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L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L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L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L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L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L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L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L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L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L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L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L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L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L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L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L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L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L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L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L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L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L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L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L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L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L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L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L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L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L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L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L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L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L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L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L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L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L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L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L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L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L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L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L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L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L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L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L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L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L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L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L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L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L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L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L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L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L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L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L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L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L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L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L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L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L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L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L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L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L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L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L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L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L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L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L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L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L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L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L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L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L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L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L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L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L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L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L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L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L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L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L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L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L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L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L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L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L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L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L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L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L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L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L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L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L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L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L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L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L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L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L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L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L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L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L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L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L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L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L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L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L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L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L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L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L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L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L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L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L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L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L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L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L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L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L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L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L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L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L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L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L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L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L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L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L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L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L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L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L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L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L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L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L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L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L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L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L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L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L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L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L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L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L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L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L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L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L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L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L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L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L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L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L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L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L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L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L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L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L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L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L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L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L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L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L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L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L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L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L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L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L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L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L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L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L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L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L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L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L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L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L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L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L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L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L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L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L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L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L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L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L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L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L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L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L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L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L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L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L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L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L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L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L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L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L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L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L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L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L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L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L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L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L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L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L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L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L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L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L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L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L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L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L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L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L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L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L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L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L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L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L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L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L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L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L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L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L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L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L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L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L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L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L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L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L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L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L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L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L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L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L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L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L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L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L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L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L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L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L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L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L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L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L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L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L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L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L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L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L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L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L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L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L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L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L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L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L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L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L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L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L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L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L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L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L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L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L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L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L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L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L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L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L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L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L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L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L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L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L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L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L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L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L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L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L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L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L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L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L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L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L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L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L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L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L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L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L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L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L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L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L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L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L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L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L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L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L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L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L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L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L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L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L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L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L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L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L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L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L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L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L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L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L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L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L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L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L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L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L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L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L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L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L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L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L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L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L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L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L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L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L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L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L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L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L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L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L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L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L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L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L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L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L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L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L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L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L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L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L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L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L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L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L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L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L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L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L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L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L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L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L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L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L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L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L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L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L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L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L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L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L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L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L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L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L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L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L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L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L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L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L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L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L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L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L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L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L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L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L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L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L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L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L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L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L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L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L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L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L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L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L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L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L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L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L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L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L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L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L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L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L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L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L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L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L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L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L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L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L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L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L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L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L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L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L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L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L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L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L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L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L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L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L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L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L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L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L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L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L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L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L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L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L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L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L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L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L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L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L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L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L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L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L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L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L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L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L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L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L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L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L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L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L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L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L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L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L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L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L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L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L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L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L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L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L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L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L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L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L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L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L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L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L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L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L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L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L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L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L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L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L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L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L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L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L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L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L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L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L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L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L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L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L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L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L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L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L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L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L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L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L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L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L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L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L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L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L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L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L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L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L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L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L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L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L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L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L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L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L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L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L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L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L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L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L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L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L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L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L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L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L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L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L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L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L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L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L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L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L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L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L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L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L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L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L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L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L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L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L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L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L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L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L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L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L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L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L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L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L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L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L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L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L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L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L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L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L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L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L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L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L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L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L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L1000" s="41" t="n"/>
    </row>
  </sheetData>
  <mergeCells count="4">
    <mergeCell ref="A2:A7"/>
    <mergeCell ref="B6:B7"/>
    <mergeCell ref="B2:B3"/>
    <mergeCell ref="B4:B5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119" min="1" max="1"/>
    <col width="18" customWidth="1" style="119" min="2" max="2"/>
    <col width="39" customWidth="1" style="119" min="3" max="3"/>
    <col width="20.29" customWidth="1" style="119" min="4" max="4"/>
    <col width="18.71" customWidth="1" style="119" min="5" max="5"/>
    <col width="16.71" customWidth="1" style="119" min="6" max="6"/>
    <col width="20.29" customWidth="1" style="119" min="7" max="7"/>
    <col width="20" customWidth="1" style="119" min="8" max="8"/>
    <col width="18.43" customWidth="1" style="119" min="9" max="9"/>
    <col width="25" customWidth="1" style="119" min="10" max="10"/>
  </cols>
  <sheetData>
    <row r="1" ht="31.5" customHeight="1" s="119">
      <c r="A1" s="15" t="inlineStr">
        <is>
          <t>Dataset</t>
        </is>
      </c>
      <c r="B1" s="15" t="inlineStr">
        <is>
          <t>Modality</t>
        </is>
      </c>
      <c r="C1" s="15" t="inlineStr">
        <is>
          <t>Classifier Variant</t>
        </is>
      </c>
      <c r="D1" s="15" t="inlineStr">
        <is>
          <t>Accuracy</t>
        </is>
      </c>
      <c r="E1" s="15" t="inlineStr">
        <is>
          <t>Positive F1</t>
        </is>
      </c>
      <c r="F1" s="22" t="inlineStr">
        <is>
          <t>Recall</t>
        </is>
      </c>
      <c r="G1" s="15" t="inlineStr">
        <is>
          <t>Precision</t>
        </is>
      </c>
      <c r="H1" s="15" t="inlineStr">
        <is>
          <t>Macro F1</t>
        </is>
      </c>
      <c r="I1" s="15" t="inlineStr">
        <is>
          <t>AUROC</t>
        </is>
      </c>
      <c r="J1" s="15" t="inlineStr">
        <is>
          <t>Confusion Matrix</t>
        </is>
      </c>
    </row>
    <row r="2" ht="22.5" customHeight="1" s="119">
      <c r="A2" s="124" t="inlineStr">
        <is>
          <t>daic</t>
        </is>
      </c>
      <c r="B2" s="125" t="inlineStr">
        <is>
          <t>audio_text</t>
        </is>
      </c>
      <c r="C2" s="126" t="inlineStr">
        <is>
          <t>Logistic Regression</t>
        </is>
      </c>
      <c r="D2" s="206" t="n">
        <v>0.851064</v>
      </c>
      <c r="E2" s="206" t="n">
        <v>0.8</v>
      </c>
      <c r="F2" s="206" t="n">
        <v>1</v>
      </c>
      <c r="G2" s="185" t="n">
        <v>0.666667</v>
      </c>
      <c r="H2" s="206" t="n">
        <v>0.840678</v>
      </c>
      <c r="I2" s="185" t="n">
        <v>0.900433</v>
      </c>
      <c r="J2" s="128" t="inlineStr">
        <is>
          <t>[[26, 7], [0, 14]]</t>
        </is>
      </c>
    </row>
    <row r="3" ht="22.5" customHeight="1" s="119">
      <c r="A3" s="129" t="inlineStr">
        <is>
          <t>daic</t>
        </is>
      </c>
      <c r="B3" s="130" t="inlineStr">
        <is>
          <t>audio_text</t>
        </is>
      </c>
      <c r="C3" s="131" t="inlineStr">
        <is>
          <t>XGBoost (fixed raw)</t>
        </is>
      </c>
      <c r="D3" s="186" t="n">
        <v>0.765957</v>
      </c>
      <c r="E3" s="186" t="n">
        <v>0.62069</v>
      </c>
      <c r="F3" s="186" t="n">
        <v>0.642857</v>
      </c>
      <c r="G3" s="186" t="n">
        <v>0.6</v>
      </c>
      <c r="H3" s="186" t="n">
        <v>0.725729</v>
      </c>
      <c r="I3" s="186" t="n">
        <v>0.896104</v>
      </c>
      <c r="J3" s="132" t="inlineStr">
        <is>
          <t>[[27, 6], [5, 9]]</t>
        </is>
      </c>
    </row>
    <row r="4" ht="22.5" customHeight="1" s="119">
      <c r="A4" s="129" t="inlineStr">
        <is>
          <t>daic</t>
        </is>
      </c>
      <c r="B4" s="130" t="inlineStr">
        <is>
          <t>audio_text</t>
        </is>
      </c>
      <c r="C4" s="131" t="inlineStr">
        <is>
          <t>XGBoost Optuna (150t d6, seed1337)</t>
        </is>
      </c>
      <c r="D4" s="186" t="n">
        <v>0.808511</v>
      </c>
      <c r="E4" s="186" t="n">
        <v>0.666667</v>
      </c>
      <c r="F4" s="186" t="n">
        <v>0.642857</v>
      </c>
      <c r="G4" s="186" t="n">
        <v>0.692308</v>
      </c>
      <c r="H4" s="186" t="n">
        <v>0.766169</v>
      </c>
      <c r="I4" s="186" t="n">
        <v>0.887446</v>
      </c>
      <c r="J4" s="132" t="inlineStr">
        <is>
          <t>[[29, 4], [5, 9]]</t>
        </is>
      </c>
    </row>
    <row r="5" ht="22.5" customHeight="1" s="119">
      <c r="A5" s="124" t="inlineStr">
        <is>
          <t>daic</t>
        </is>
      </c>
      <c r="B5" s="125" t="inlineStr">
        <is>
          <t>audio_only</t>
        </is>
      </c>
      <c r="C5" s="126" t="inlineStr">
        <is>
          <t>Logistic Regression</t>
        </is>
      </c>
      <c r="D5" s="185" t="n">
        <v>0.723404</v>
      </c>
      <c r="E5" s="185" t="n">
        <v>0.628571</v>
      </c>
      <c r="F5" s="185" t="n">
        <v>0.785714</v>
      </c>
      <c r="G5" s="185" t="n">
        <v>0.52381</v>
      </c>
      <c r="H5" s="185" t="n">
        <v>0.704116</v>
      </c>
      <c r="I5" s="185" t="n">
        <v>0.7792210000000001</v>
      </c>
      <c r="J5" s="128" t="inlineStr">
        <is>
          <t>[[23, 10], [3, 11]]</t>
        </is>
      </c>
    </row>
    <row r="6" ht="22.5" customHeight="1" s="119">
      <c r="A6" s="129" t="inlineStr">
        <is>
          <t>daic</t>
        </is>
      </c>
      <c r="B6" s="130" t="inlineStr">
        <is>
          <t>audio_only</t>
        </is>
      </c>
      <c r="C6" s="131" t="inlineStr">
        <is>
          <t>XGBoost (fixed raw)</t>
        </is>
      </c>
      <c r="D6" s="186" t="n">
        <v>0.765957</v>
      </c>
      <c r="E6" s="186" t="n">
        <v>0.592593</v>
      </c>
      <c r="F6" s="186" t="n">
        <v>0.571429</v>
      </c>
      <c r="G6" s="186" t="n">
        <v>0.615385</v>
      </c>
      <c r="H6" s="186" t="n">
        <v>0.714207</v>
      </c>
      <c r="I6" s="186" t="n">
        <v>0.781385</v>
      </c>
      <c r="J6" s="132" t="inlineStr">
        <is>
          <t>[[28, 5], [6, 8]]</t>
        </is>
      </c>
    </row>
    <row r="7" ht="22.5" customHeight="1" s="119">
      <c r="A7" s="129" t="inlineStr">
        <is>
          <t>daic</t>
        </is>
      </c>
      <c r="B7" s="130" t="inlineStr">
        <is>
          <t>audio_only</t>
        </is>
      </c>
      <c r="C7" s="131" t="inlineStr">
        <is>
          <t>XGBoost Optuna (150t d6, seed1337)</t>
        </is>
      </c>
      <c r="D7" s="186" t="n">
        <v>0.723404</v>
      </c>
      <c r="E7" s="186" t="n">
        <v>0.648649</v>
      </c>
      <c r="F7" s="186" t="n">
        <v>0.857143</v>
      </c>
      <c r="G7" s="186" t="n">
        <v>0.521739</v>
      </c>
      <c r="H7" s="186" t="n">
        <v>0.7102889999999999</v>
      </c>
      <c r="I7" s="186" t="n">
        <v>0.80303</v>
      </c>
      <c r="J7" s="132" t="inlineStr">
        <is>
          <t>[[22, 11], [2, 12]]</t>
        </is>
      </c>
    </row>
    <row r="8" ht="22.5" customHeight="1" s="119">
      <c r="A8" s="124" t="inlineStr">
        <is>
          <t>daic</t>
        </is>
      </c>
      <c r="B8" s="125" t="inlineStr">
        <is>
          <t>text_only</t>
        </is>
      </c>
      <c r="C8" s="126" t="inlineStr">
        <is>
          <t>Logistic Regression</t>
        </is>
      </c>
      <c r="D8" s="206" t="n">
        <v>0.851064</v>
      </c>
      <c r="E8" s="185" t="n">
        <v>0.740741</v>
      </c>
      <c r="F8" s="185" t="n">
        <v>0.714286</v>
      </c>
      <c r="G8" s="206" t="n">
        <v>0.769231</v>
      </c>
      <c r="H8" s="185" t="n">
        <v>0.818132</v>
      </c>
      <c r="I8" s="185" t="n">
        <v>0.926407</v>
      </c>
      <c r="J8" s="128" t="inlineStr">
        <is>
          <t>[[30, 3], [4, 10]]</t>
        </is>
      </c>
    </row>
    <row r="9" ht="22.5" customHeight="1" s="119">
      <c r="A9" s="129" t="inlineStr">
        <is>
          <t>daic</t>
        </is>
      </c>
      <c r="B9" s="130" t="inlineStr">
        <is>
          <t>text_only</t>
        </is>
      </c>
      <c r="C9" s="131" t="inlineStr">
        <is>
          <t>XGBoost (fixed raw)</t>
        </is>
      </c>
      <c r="D9" s="186" t="n">
        <v>0.8297870000000001</v>
      </c>
      <c r="E9" s="186" t="n">
        <v>0.692308</v>
      </c>
      <c r="F9" s="186" t="n">
        <v>0.642857</v>
      </c>
      <c r="G9" s="186" t="n">
        <v>0.75</v>
      </c>
      <c r="H9" s="186" t="n">
        <v>0.78733</v>
      </c>
      <c r="I9" s="207" t="n">
        <v>0.930736</v>
      </c>
      <c r="J9" s="132" t="inlineStr">
        <is>
          <t>[[30, 3], [5, 9]]</t>
        </is>
      </c>
    </row>
    <row r="10" ht="22.5" customHeight="1" s="119">
      <c r="A10" s="129" t="inlineStr">
        <is>
          <t>daic</t>
        </is>
      </c>
      <c r="B10" s="130" t="inlineStr">
        <is>
          <t>text_only</t>
        </is>
      </c>
      <c r="C10" s="131" t="inlineStr">
        <is>
          <t>XGBoost Optuna (150t d6, seed1337)</t>
        </is>
      </c>
      <c r="D10" s="207" t="n">
        <v>0.851064</v>
      </c>
      <c r="E10" s="186" t="n">
        <v>0.740741</v>
      </c>
      <c r="F10" s="186" t="n">
        <v>0.714286</v>
      </c>
      <c r="G10" s="207" t="n">
        <v>0.769231</v>
      </c>
      <c r="H10" s="186" t="n">
        <v>0.818132</v>
      </c>
      <c r="I10" s="186" t="n">
        <v>0.917749</v>
      </c>
      <c r="J10" s="132" t="inlineStr">
        <is>
          <t>[[30, 3], [4, 10]]</t>
        </is>
      </c>
    </row>
    <row r="11" ht="22.5" customHeight="1" s="119">
      <c r="A11" s="133" t="inlineStr">
        <is>
          <t>cmdc</t>
        </is>
      </c>
      <c r="B11" s="134" t="inlineStr">
        <is>
          <t>audio_text</t>
        </is>
      </c>
      <c r="C11" s="135" t="inlineStr">
        <is>
          <t>Logistic Regression</t>
        </is>
      </c>
      <c r="D11" s="206" t="n">
        <v>0.987179</v>
      </c>
      <c r="E11" s="206" t="n">
        <v>0.980392</v>
      </c>
      <c r="F11" s="206" t="n">
        <v>0.961538</v>
      </c>
      <c r="G11" s="206" t="n">
        <v>1</v>
      </c>
      <c r="H11" s="206" t="n">
        <v>0.985434</v>
      </c>
      <c r="I11" s="187" t="n">
        <v>0.9955619999999999</v>
      </c>
      <c r="J11" s="137" t="inlineStr">
        <is>
          <t>[[52, 0], [1, 25]]</t>
        </is>
      </c>
    </row>
    <row r="12" ht="22.5" customHeight="1" s="119">
      <c r="A12" s="138" t="inlineStr">
        <is>
          <t>cmdc</t>
        </is>
      </c>
      <c r="B12" s="139" t="inlineStr">
        <is>
          <t>audio_text</t>
        </is>
      </c>
      <c r="C12" s="140" t="inlineStr">
        <is>
          <t>XGBoost (fixed raw)</t>
        </is>
      </c>
      <c r="D12" s="188" t="n">
        <v>0.974359</v>
      </c>
      <c r="E12" s="188" t="n">
        <v>0.96</v>
      </c>
      <c r="F12" s="188" t="n">
        <v>0.923077</v>
      </c>
      <c r="G12" s="207" t="n">
        <v>1</v>
      </c>
      <c r="H12" s="188" t="n">
        <v>0.970566</v>
      </c>
      <c r="I12" s="188" t="n">
        <v>0.993343</v>
      </c>
      <c r="J12" s="141" t="inlineStr">
        <is>
          <t>[[52, 0], [2, 24]]</t>
        </is>
      </c>
    </row>
    <row r="13" ht="22.5" customHeight="1" s="119">
      <c r="A13" s="138" t="inlineStr">
        <is>
          <t>cmdc</t>
        </is>
      </c>
      <c r="B13" s="139" t="inlineStr">
        <is>
          <t>audio_text</t>
        </is>
      </c>
      <c r="C13" s="140" t="inlineStr">
        <is>
          <t>XGBoost Optuna (150t d6, seed1337)</t>
        </is>
      </c>
      <c r="D13" s="207" t="n">
        <v>0.987179</v>
      </c>
      <c r="E13" s="207" t="n">
        <v>0.980392</v>
      </c>
      <c r="F13" s="207" t="n">
        <v>0.961538</v>
      </c>
      <c r="G13" s="207" t="n">
        <v>1</v>
      </c>
      <c r="H13" s="207" t="n">
        <v>0.985434</v>
      </c>
      <c r="I13" s="188" t="n">
        <v>0.994083</v>
      </c>
      <c r="J13" s="141" t="inlineStr">
        <is>
          <t>[[52, 0], [1, 25]]</t>
        </is>
      </c>
    </row>
    <row r="14">
      <c r="A14" s="133" t="inlineStr">
        <is>
          <t>cmdc</t>
        </is>
      </c>
      <c r="B14" s="134" t="inlineStr">
        <is>
          <t>audio_only</t>
        </is>
      </c>
      <c r="C14" s="135" t="inlineStr">
        <is>
          <t>Logistic Regression</t>
        </is>
      </c>
      <c r="D14" s="206" t="n">
        <v>0.987179</v>
      </c>
      <c r="E14" s="206" t="n">
        <v>0.980392</v>
      </c>
      <c r="F14" s="206" t="n">
        <v>0.961538</v>
      </c>
      <c r="G14" s="206" t="n">
        <v>1</v>
      </c>
      <c r="H14" s="206" t="n">
        <v>0.985434</v>
      </c>
      <c r="I14" s="187" t="n">
        <v>0.985947</v>
      </c>
      <c r="J14" s="137" t="inlineStr">
        <is>
          <t>[[52, 0], [1, 25]]</t>
        </is>
      </c>
    </row>
    <row r="15">
      <c r="A15" s="138" t="inlineStr">
        <is>
          <t>cmdc</t>
        </is>
      </c>
      <c r="B15" s="139" t="inlineStr">
        <is>
          <t>audio_only</t>
        </is>
      </c>
      <c r="C15" s="140" t="inlineStr">
        <is>
          <t>XGBoost (fixed raw)</t>
        </is>
      </c>
      <c r="D15" s="207" t="n">
        <v>0.987179</v>
      </c>
      <c r="E15" s="207" t="n">
        <v>0.980392</v>
      </c>
      <c r="F15" s="207" t="n">
        <v>0.961538</v>
      </c>
      <c r="G15" s="207" t="n">
        <v>1</v>
      </c>
      <c r="H15" s="207" t="n">
        <v>0.985434</v>
      </c>
      <c r="I15" s="188" t="n">
        <v>0.9852070000000001</v>
      </c>
      <c r="J15" s="141" t="inlineStr">
        <is>
          <t>[[52, 0], [1, 25]]</t>
        </is>
      </c>
    </row>
    <row r="16">
      <c r="A16" s="138" t="inlineStr">
        <is>
          <t>cmdc</t>
        </is>
      </c>
      <c r="B16" s="139" t="inlineStr">
        <is>
          <t>audio_only</t>
        </is>
      </c>
      <c r="C16" s="140" t="inlineStr">
        <is>
          <t>XGBoost Optuna (150t d6, seed1337)</t>
        </is>
      </c>
      <c r="D16" s="207" t="n">
        <v>0.987179</v>
      </c>
      <c r="E16" s="207" t="n">
        <v>0.980392</v>
      </c>
      <c r="F16" s="207" t="n">
        <v>0.961538</v>
      </c>
      <c r="G16" s="207" t="n">
        <v>1</v>
      </c>
      <c r="H16" s="207" t="n">
        <v>0.985434</v>
      </c>
      <c r="I16" s="188" t="n">
        <v>0.988166</v>
      </c>
      <c r="J16" s="141" t="inlineStr">
        <is>
          <t>[[52, 0], [1, 25]]</t>
        </is>
      </c>
    </row>
    <row r="17">
      <c r="A17" s="133" t="inlineStr">
        <is>
          <t>cmdc</t>
        </is>
      </c>
      <c r="B17" s="134" t="inlineStr">
        <is>
          <t>text_only</t>
        </is>
      </c>
      <c r="C17" s="135" t="inlineStr">
        <is>
          <t>Logistic Regression</t>
        </is>
      </c>
      <c r="D17" s="206" t="n">
        <v>0.987179</v>
      </c>
      <c r="E17" s="206" t="n">
        <v>0.980392</v>
      </c>
      <c r="F17" s="206" t="n">
        <v>0.961538</v>
      </c>
      <c r="G17" s="206" t="n">
        <v>1</v>
      </c>
      <c r="H17" s="206" t="n">
        <v>0.985434</v>
      </c>
      <c r="I17" s="206" t="n">
        <v>0.99926</v>
      </c>
      <c r="J17" s="137" t="inlineStr">
        <is>
          <t>[[52, 0], [1, 25]]</t>
        </is>
      </c>
    </row>
    <row r="18">
      <c r="A18" s="138" t="inlineStr">
        <is>
          <t>cmdc</t>
        </is>
      </c>
      <c r="B18" s="139" t="inlineStr">
        <is>
          <t>text_only</t>
        </is>
      </c>
      <c r="C18" s="140" t="inlineStr">
        <is>
          <t>XGBoost (fixed raw)</t>
        </is>
      </c>
      <c r="D18" s="188" t="n">
        <v>0.974359</v>
      </c>
      <c r="E18" s="188" t="n">
        <v>0.96</v>
      </c>
      <c r="F18" s="188" t="n">
        <v>0.923077</v>
      </c>
      <c r="G18" s="207" t="n">
        <v>1</v>
      </c>
      <c r="H18" s="188" t="n">
        <v>0.970566</v>
      </c>
      <c r="I18" s="188" t="n">
        <v>0.998521</v>
      </c>
      <c r="J18" s="141" t="inlineStr">
        <is>
          <t>[[52, 0], [2, 24]]</t>
        </is>
      </c>
    </row>
    <row r="19">
      <c r="A19" s="138" t="inlineStr">
        <is>
          <t>cmdc</t>
        </is>
      </c>
      <c r="B19" s="139" t="inlineStr">
        <is>
          <t>text_only</t>
        </is>
      </c>
      <c r="C19" s="140" t="inlineStr">
        <is>
          <t>XGBoost Optuna (150t d6, seed1337)</t>
        </is>
      </c>
      <c r="D19" s="188" t="n">
        <v>0.974359</v>
      </c>
      <c r="E19" s="188" t="n">
        <v>0.961538</v>
      </c>
      <c r="F19" s="207" t="n">
        <v>0.961538</v>
      </c>
      <c r="G19" s="188" t="n">
        <v>0.961538</v>
      </c>
      <c r="H19" s="188" t="n">
        <v>0.971154</v>
      </c>
      <c r="I19" s="188" t="n">
        <v>0.997041</v>
      </c>
      <c r="J19" s="141" t="inlineStr">
        <is>
          <t>[[51, 1], [1, 25]]</t>
        </is>
      </c>
    </row>
    <row r="20">
      <c r="A20" s="142" t="inlineStr">
        <is>
          <t>turkish</t>
        </is>
      </c>
      <c r="B20" s="143" t="inlineStr">
        <is>
          <t>audio_text</t>
        </is>
      </c>
      <c r="C20" s="144" t="inlineStr">
        <is>
          <t>Logistic Regression</t>
        </is>
      </c>
      <c r="D20" s="189" t="n">
        <v>0.6</v>
      </c>
      <c r="E20" s="189" t="n">
        <v>0.7241379999999999</v>
      </c>
      <c r="F20" s="189" t="n">
        <v>0.759036</v>
      </c>
      <c r="G20" s="189" t="n">
        <v>0.692308</v>
      </c>
      <c r="H20" s="189" t="n">
        <v>0.498433</v>
      </c>
      <c r="I20" s="189" t="n">
        <v>0.4803</v>
      </c>
      <c r="J20" s="146" t="inlineStr">
        <is>
          <t>[[9, 28], [20, 63]]</t>
        </is>
      </c>
    </row>
    <row r="21" ht="15.75" customHeight="1" s="119">
      <c r="A21" s="147" t="inlineStr">
        <is>
          <t>turkish</t>
        </is>
      </c>
      <c r="B21" s="148" t="inlineStr">
        <is>
          <t>audio_text</t>
        </is>
      </c>
      <c r="C21" s="149" t="inlineStr">
        <is>
          <t>XGBoost (fixed raw)</t>
        </is>
      </c>
      <c r="D21" s="190" t="n">
        <v>0.65</v>
      </c>
      <c r="E21" s="190" t="n">
        <v>0.783505</v>
      </c>
      <c r="F21" s="190" t="n">
        <v>0.915663</v>
      </c>
      <c r="G21" s="190" t="n">
        <v>0.684685</v>
      </c>
      <c r="H21" s="190" t="n">
        <v>0.435231</v>
      </c>
      <c r="I21" s="190" t="n">
        <v>0.600456</v>
      </c>
      <c r="J21" s="150" t="inlineStr">
        <is>
          <t>[[2, 35], [7, 76]]</t>
        </is>
      </c>
    </row>
    <row r="22" ht="15.75" customHeight="1" s="119">
      <c r="A22" s="147" t="inlineStr">
        <is>
          <t>turkish</t>
        </is>
      </c>
      <c r="B22" s="148" t="inlineStr">
        <is>
          <t>audio_text</t>
        </is>
      </c>
      <c r="C22" s="149" t="inlineStr">
        <is>
          <t>XGBoost Optuna (150t d6, seed1337)</t>
        </is>
      </c>
      <c r="D22" s="190" t="n">
        <v>0.616667</v>
      </c>
      <c r="E22" s="190" t="n">
        <v>0.7294119999999999</v>
      </c>
      <c r="F22" s="190" t="n">
        <v>0.746988</v>
      </c>
      <c r="G22" s="190" t="n">
        <v>0.7126440000000001</v>
      </c>
      <c r="H22" s="190" t="n">
        <v>0.536134</v>
      </c>
      <c r="I22" s="190" t="n">
        <v>0.542494</v>
      </c>
      <c r="J22" s="150" t="inlineStr">
        <is>
          <t>[[12, 25], [21, 62]]</t>
        </is>
      </c>
    </row>
    <row r="23" ht="15.75" customHeight="1" s="119">
      <c r="A23" s="142" t="inlineStr">
        <is>
          <t>turkish</t>
        </is>
      </c>
      <c r="B23" s="143" t="inlineStr">
        <is>
          <t>audio_only</t>
        </is>
      </c>
      <c r="C23" s="144" t="inlineStr">
        <is>
          <t>Logistic Regression</t>
        </is>
      </c>
      <c r="D23" s="189" t="n">
        <v>0.683333</v>
      </c>
      <c r="E23" s="189" t="n">
        <v>0.788889</v>
      </c>
      <c r="F23" s="189" t="n">
        <v>0.855422</v>
      </c>
      <c r="G23" s="189" t="n">
        <v>0.731959</v>
      </c>
      <c r="H23" s="189" t="n">
        <v>0.577778</v>
      </c>
      <c r="I23" s="189" t="n">
        <v>0.613807</v>
      </c>
      <c r="J23" s="146" t="inlineStr">
        <is>
          <t>[[11, 26], [12, 71]]</t>
        </is>
      </c>
    </row>
    <row r="24" ht="15.75" customHeight="1" s="119">
      <c r="A24" s="147" t="inlineStr">
        <is>
          <t>turkish</t>
        </is>
      </c>
      <c r="B24" s="148" t="inlineStr">
        <is>
          <t>audio_only</t>
        </is>
      </c>
      <c r="C24" s="149" t="inlineStr">
        <is>
          <t>XGBoost (fixed raw)</t>
        </is>
      </c>
      <c r="D24" s="207" t="n">
        <v>0.7166670000000001</v>
      </c>
      <c r="E24" s="207" t="n">
        <v>0.83</v>
      </c>
      <c r="F24" s="207" t="n">
        <v>1</v>
      </c>
      <c r="G24" s="190" t="n">
        <v>0.709402</v>
      </c>
      <c r="H24" s="190" t="n">
        <v>0.49</v>
      </c>
      <c r="I24" s="190" t="n">
        <v>0.64181</v>
      </c>
      <c r="J24" s="150" t="inlineStr">
        <is>
          <t>[[3, 34], [0, 83]]</t>
        </is>
      </c>
    </row>
    <row r="25" ht="15.75" customHeight="1" s="119">
      <c r="A25" s="147" t="inlineStr">
        <is>
          <t>turkish</t>
        </is>
      </c>
      <c r="B25" s="148" t="inlineStr">
        <is>
          <t>audio_only</t>
        </is>
      </c>
      <c r="C25" s="149" t="inlineStr">
        <is>
          <t>XGBoost Optuna (150t d8, seed1337)</t>
        </is>
      </c>
      <c r="D25" s="190" t="n">
        <v>0.683333</v>
      </c>
      <c r="E25" s="190" t="n">
        <v>0.793478</v>
      </c>
      <c r="F25" s="190" t="n">
        <v>0.879518</v>
      </c>
      <c r="G25" s="190" t="n">
        <v>0.722772</v>
      </c>
      <c r="H25" s="190" t="n">
        <v>0.557453</v>
      </c>
      <c r="I25" s="190" t="n">
        <v>0.664604</v>
      </c>
      <c r="J25" s="150" t="inlineStr">
        <is>
          <t>[[9, 28], [10, 73]]</t>
        </is>
      </c>
    </row>
    <row r="26" ht="15.75" customHeight="1" s="119">
      <c r="A26" s="142" t="inlineStr">
        <is>
          <t>turkish</t>
        </is>
      </c>
      <c r="B26" s="143" t="inlineStr">
        <is>
          <t>text_only</t>
        </is>
      </c>
      <c r="C26" s="144" t="inlineStr">
        <is>
          <t>Logistic Regression</t>
        </is>
      </c>
      <c r="D26" s="189" t="n">
        <v>0.583333</v>
      </c>
      <c r="E26" s="189" t="n">
        <v>0.666667</v>
      </c>
      <c r="F26" s="189" t="n">
        <v>0.60241</v>
      </c>
      <c r="G26" s="189" t="n">
        <v>0.746269</v>
      </c>
      <c r="H26" s="189" t="n">
        <v>0.555556</v>
      </c>
      <c r="I26" s="189" t="n">
        <v>0.616412</v>
      </c>
      <c r="J26" s="146" t="inlineStr">
        <is>
          <t>[[20, 17], [33, 50]]</t>
        </is>
      </c>
    </row>
    <row r="27" ht="15.75" customHeight="1" s="119">
      <c r="A27" s="147" t="inlineStr">
        <is>
          <t>turkish</t>
        </is>
      </c>
      <c r="B27" s="148" t="inlineStr">
        <is>
          <t>text_only</t>
        </is>
      </c>
      <c r="C27" s="149" t="inlineStr">
        <is>
          <t>XGBoost (fixed raw)</t>
        </is>
      </c>
      <c r="D27" s="190" t="n">
        <v>0.683333</v>
      </c>
      <c r="E27" s="190" t="n">
        <v>0.77381</v>
      </c>
      <c r="F27" s="190" t="n">
        <v>0.783133</v>
      </c>
      <c r="G27" s="190" t="n">
        <v>0.764706</v>
      </c>
      <c r="H27" s="207" t="n">
        <v>0.623016</v>
      </c>
      <c r="I27" s="207" t="n">
        <v>0.677304</v>
      </c>
      <c r="J27" s="150" t="inlineStr">
        <is>
          <t>[[17, 20], [18, 65]]</t>
        </is>
      </c>
    </row>
    <row r="28" ht="15.75" customHeight="1" s="119">
      <c r="A28" s="147" t="inlineStr">
        <is>
          <t>turkish</t>
        </is>
      </c>
      <c r="B28" s="148" t="inlineStr">
        <is>
          <t>text_only</t>
        </is>
      </c>
      <c r="C28" s="149" t="inlineStr">
        <is>
          <t>XGBoost Optuna (50t d6, seed1337)</t>
        </is>
      </c>
      <c r="D28" s="190" t="n">
        <v>0.641667</v>
      </c>
      <c r="E28" s="190" t="n">
        <v>0.726115</v>
      </c>
      <c r="F28" s="190" t="n">
        <v>0.686747</v>
      </c>
      <c r="G28" s="207" t="n">
        <v>0.77027</v>
      </c>
      <c r="H28" s="190" t="n">
        <v>0.604021</v>
      </c>
      <c r="I28" s="190" t="n">
        <v>0.646695</v>
      </c>
      <c r="J28" s="150" t="inlineStr">
        <is>
          <t>[[20, 17], [26, 57]]</t>
        </is>
      </c>
    </row>
    <row r="29" ht="15.75" customHeight="1" s="119">
      <c r="A29" s="142" t="inlineStr">
        <is>
          <t>d3tec</t>
        </is>
      </c>
      <c r="B29" s="143" t="inlineStr">
        <is>
          <t>audio_text</t>
        </is>
      </c>
      <c r="C29" s="144" t="inlineStr">
        <is>
          <t>Logistic Regression</t>
        </is>
      </c>
      <c r="D29" s="206" t="n">
        <v>0.5806451612903226</v>
      </c>
      <c r="E29" s="189" t="n">
        <v>0.48</v>
      </c>
      <c r="F29" s="189" t="n">
        <v>0.4137931034482759</v>
      </c>
      <c r="G29" s="206" t="n">
        <v>0.5714285714285714</v>
      </c>
      <c r="H29" s="189" t="n">
        <v>0.5643243243243243</v>
      </c>
      <c r="I29" s="189" t="n">
        <v>0.5632183908045977</v>
      </c>
      <c r="J29" s="146" t="inlineStr">
        <is>
          <t>[[24, 9], [17, 12]]</t>
        </is>
      </c>
    </row>
    <row r="30" ht="15.75" customHeight="1" s="119">
      <c r="A30" s="142" t="inlineStr">
        <is>
          <t>d3tec</t>
        </is>
      </c>
      <c r="B30" s="143" t="inlineStr">
        <is>
          <t>audio_text</t>
        </is>
      </c>
      <c r="C30" s="144" t="inlineStr">
        <is>
          <t>XGBoost (fixed raw)</t>
        </is>
      </c>
      <c r="D30" s="189" t="n">
        <v>0.532258064516129</v>
      </c>
      <c r="E30" s="189" t="n">
        <v>0.4081632653061225</v>
      </c>
      <c r="F30" s="189" t="n">
        <v>0.3448275862068966</v>
      </c>
      <c r="G30" s="189" t="n">
        <v>0.5</v>
      </c>
      <c r="H30" s="189" t="n">
        <v>0.5107482993197279</v>
      </c>
      <c r="I30" s="189" t="n">
        <v>0.5579937304075235</v>
      </c>
      <c r="J30" s="146" t="inlineStr">
        <is>
          <t>[[23, 10], [19, 10]]</t>
        </is>
      </c>
    </row>
    <row r="31" ht="15.75" customHeight="1" s="119">
      <c r="A31" s="142" t="inlineStr">
        <is>
          <t>d3tec</t>
        </is>
      </c>
      <c r="B31" s="143" t="inlineStr">
        <is>
          <t>audio_text</t>
        </is>
      </c>
      <c r="C31" s="144" t="inlineStr">
        <is>
          <t>XGBoost Optuna (150t d6, seed1337)</t>
        </is>
      </c>
      <c r="D31" s="189" t="n">
        <v>0.5645161290322581</v>
      </c>
      <c r="E31" s="189" t="n">
        <v>0.4705882352941176</v>
      </c>
      <c r="F31" s="189" t="n">
        <v>0.4137931034482759</v>
      </c>
      <c r="G31" s="189" t="n">
        <v>0.5454545454545454</v>
      </c>
      <c r="H31" s="189" t="n">
        <v>0.5503626107977437</v>
      </c>
      <c r="I31" s="189" t="n">
        <v>0.5559038662486938</v>
      </c>
      <c r="J31" s="146" t="inlineStr">
        <is>
          <t>[[23, 10], [17, 12]]</t>
        </is>
      </c>
    </row>
    <row r="32" ht="15.75" customHeight="1" s="119">
      <c r="A32" s="142" t="inlineStr">
        <is>
          <t>d3tec</t>
        </is>
      </c>
      <c r="B32" s="143" t="inlineStr">
        <is>
          <t>audio_only</t>
        </is>
      </c>
      <c r="C32" s="144" t="inlineStr">
        <is>
          <t>Logistic Regression</t>
        </is>
      </c>
      <c r="D32" s="189" t="n">
        <v>0.5645161290322581</v>
      </c>
      <c r="E32" s="189" t="n">
        <v>0.509090909090909</v>
      </c>
      <c r="F32" s="189" t="n">
        <v>0.4827586206896552</v>
      </c>
      <c r="G32" s="189" t="n">
        <v>0.5384615384615384</v>
      </c>
      <c r="H32" s="189" t="n">
        <v>0.5588932806324111</v>
      </c>
      <c r="I32" s="189" t="n">
        <v>0.5841170323928945</v>
      </c>
      <c r="J32" s="146" t="inlineStr">
        <is>
          <t>[[21, 12], [15, 14]]</t>
        </is>
      </c>
    </row>
    <row r="33" ht="15.75" customHeight="1" s="119">
      <c r="A33" s="142" t="inlineStr">
        <is>
          <t>d3tec</t>
        </is>
      </c>
      <c r="B33" s="143" t="inlineStr">
        <is>
          <t>audio_only</t>
        </is>
      </c>
      <c r="C33" s="144" t="inlineStr">
        <is>
          <t>XGBoost (fixed raw)</t>
        </is>
      </c>
      <c r="D33" s="189" t="n">
        <v>0.5483870967741935</v>
      </c>
      <c r="E33" s="189" t="n">
        <v>0.5</v>
      </c>
      <c r="F33" s="189" t="n">
        <v>0.4827586206896552</v>
      </c>
      <c r="G33" s="189" t="n">
        <v>0.5185185185185185</v>
      </c>
      <c r="H33" s="189" t="n">
        <v>0.5441176470588235</v>
      </c>
      <c r="I33" s="189" t="n">
        <v>0.5851619644723093</v>
      </c>
      <c r="J33" s="146" t="inlineStr">
        <is>
          <t>[[20, 13], [15, 14]]</t>
        </is>
      </c>
    </row>
    <row r="34" ht="15.75" customHeight="1" s="119">
      <c r="A34" s="142" t="inlineStr">
        <is>
          <t>d3tec</t>
        </is>
      </c>
      <c r="B34" s="143" t="inlineStr">
        <is>
          <t>audio_only</t>
        </is>
      </c>
      <c r="C34" s="144" t="inlineStr">
        <is>
          <t>XGBoost Optuna (150t d6, seed1337)</t>
        </is>
      </c>
      <c r="D34" s="206" t="n">
        <v>0.5806451612903226</v>
      </c>
      <c r="E34" s="189" t="n">
        <v>0.4999999999999999</v>
      </c>
      <c r="F34" s="189" t="n">
        <v>0.4482758620689655</v>
      </c>
      <c r="G34" s="189" t="n">
        <v>0.5652173913043478</v>
      </c>
      <c r="H34" s="189" t="n">
        <v>0.5694444444444444</v>
      </c>
      <c r="I34" s="189" t="n">
        <v>0.593521421107628</v>
      </c>
      <c r="J34" s="146" t="inlineStr">
        <is>
          <t>[[23, 10], [16, 13]]</t>
        </is>
      </c>
    </row>
    <row r="35" ht="15.75" customHeight="1" s="119">
      <c r="A35" s="142" t="inlineStr">
        <is>
          <t>d3tec</t>
        </is>
      </c>
      <c r="B35" s="143" t="inlineStr">
        <is>
          <t>text_only</t>
        </is>
      </c>
      <c r="C35" s="144" t="inlineStr">
        <is>
          <t>Logistic Regression</t>
        </is>
      </c>
      <c r="D35" s="206" t="n">
        <v>0.5806451612903226</v>
      </c>
      <c r="E35" s="206" t="n">
        <v>0.5666666666666665</v>
      </c>
      <c r="F35" s="206" t="n">
        <v>0.5862068965517241</v>
      </c>
      <c r="G35" s="189" t="n">
        <v>0.5483870967741935</v>
      </c>
      <c r="H35" s="206" t="n">
        <v>0.5802083333333332</v>
      </c>
      <c r="I35" s="206" t="n">
        <v>0.6091954022988506</v>
      </c>
      <c r="J35" s="146" t="inlineStr">
        <is>
          <t>[[19, 14], [12, 17]]</t>
        </is>
      </c>
    </row>
    <row r="36" ht="15.75" customHeight="1" s="119">
      <c r="A36" s="142" t="inlineStr">
        <is>
          <t>d3tec</t>
        </is>
      </c>
      <c r="B36" s="143" t="inlineStr">
        <is>
          <t>text_only</t>
        </is>
      </c>
      <c r="C36" s="144" t="inlineStr">
        <is>
          <t>XGBoost (fixed raw)</t>
        </is>
      </c>
      <c r="D36" s="189" t="n">
        <v>0.4838709677419355</v>
      </c>
      <c r="E36" s="189" t="n">
        <v>0.4482758620689655</v>
      </c>
      <c r="F36" s="189" t="n">
        <v>0.4482758620689655</v>
      </c>
      <c r="G36" s="189" t="n">
        <v>0.4482758620689655</v>
      </c>
      <c r="H36" s="189" t="n">
        <v>0.4817136886102403</v>
      </c>
      <c r="I36" s="189" t="n">
        <v>0.5616509926854755</v>
      </c>
      <c r="J36" s="146" t="inlineStr">
        <is>
          <t>[[17, 16], [16, 13]]</t>
        </is>
      </c>
    </row>
    <row r="37" ht="15.75" customHeight="1" s="119">
      <c r="A37" s="142" t="inlineStr">
        <is>
          <t>d3tec</t>
        </is>
      </c>
      <c r="B37" s="143" t="inlineStr">
        <is>
          <t>text_only</t>
        </is>
      </c>
      <c r="C37" s="144" t="inlineStr">
        <is>
          <t>XGBoost Optuna (150t d6, seed1337)</t>
        </is>
      </c>
      <c r="D37" s="189" t="n">
        <v>0.532258064516129</v>
      </c>
      <c r="E37" s="189" t="n">
        <v>0.4727272727272727</v>
      </c>
      <c r="F37" s="189" t="n">
        <v>0.4482758620689655</v>
      </c>
      <c r="G37" s="189" t="n">
        <v>0.5</v>
      </c>
      <c r="H37" s="189" t="n">
        <v>0.5262187088274044</v>
      </c>
      <c r="I37" s="189" t="n">
        <v>0.5741901776384535</v>
      </c>
      <c r="J37" s="146" t="inlineStr">
        <is>
          <t>[[20, 13], [16, 13]]</t>
        </is>
      </c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G998" s="41" t="n"/>
      <c r="H998" s="41" t="n"/>
      <c r="I998" s="41" t="n"/>
      <c r="J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G999" s="41" t="n"/>
      <c r="H999" s="41" t="n"/>
      <c r="I999" s="41" t="n"/>
      <c r="J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G1000" s="41" t="n"/>
      <c r="H1000" s="41" t="n"/>
      <c r="I1000" s="41" t="n"/>
      <c r="J1000" s="41" t="n"/>
    </row>
  </sheetData>
  <autoFilter ref="A1:J28"/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style="119" min="1" max="1"/>
    <col width="22" customWidth="1" style="119" min="2" max="2"/>
    <col width="13" customWidth="1" style="119" min="3" max="3"/>
    <col width="12" customWidth="1" style="119" min="4" max="4"/>
    <col width="12" customWidth="1" style="119" min="5" max="5"/>
    <col width="12" customWidth="1" style="119" min="6" max="6"/>
    <col width="13" customWidth="1" style="119" min="7" max="7"/>
    <col width="15" customWidth="1" style="119" min="8" max="8"/>
    <col width="15" customWidth="1" style="119" min="9" max="9"/>
    <col width="16" customWidth="1" style="119" min="10" max="10"/>
    <col width="12" customWidth="1" style="119" min="11" max="11"/>
    <col width="24" customWidth="1" style="119" min="12" max="12"/>
  </cols>
  <sheetData>
    <row r="1">
      <c r="A1" s="191" t="inlineStr">
        <is>
          <t>Turkish BDI&gt;=17 Subject Oversampling</t>
        </is>
      </c>
    </row>
    <row r="2">
      <c r="A2" s="192" t="inlineStr">
        <is>
          <t>Five-fold hidden-state results use table-aligned outer validation. Qwen results are the predeclared folds 0-1 pilot, not a full-panel result.</t>
        </is>
      </c>
    </row>
    <row r="4">
      <c r="A4" s="193" t="inlineStr">
        <is>
          <t>Modality</t>
        </is>
      </c>
      <c r="B4" s="193" t="inlineStr">
        <is>
          <t>Profile</t>
        </is>
      </c>
      <c r="C4" s="193" t="inlineStr">
        <is>
          <t>OS seed</t>
        </is>
      </c>
      <c r="D4" s="193" t="inlineStr">
        <is>
          <t>Accuracy</t>
        </is>
      </c>
      <c r="E4" s="193" t="inlineStr">
        <is>
          <t>Positive F1</t>
        </is>
      </c>
      <c r="F4" s="193" t="inlineStr">
        <is>
          <t>Macro F1</t>
        </is>
      </c>
      <c r="G4" s="193" t="inlineStr">
        <is>
          <t>Negative F1</t>
        </is>
      </c>
      <c r="H4" s="193" t="inlineStr">
        <is>
          <t>Negative recall</t>
        </is>
      </c>
      <c r="I4" s="193" t="inlineStr">
        <is>
          <t>Positive recall</t>
        </is>
      </c>
      <c r="J4" s="193" t="inlineStr">
        <is>
          <t>Balanced accuracy</t>
        </is>
      </c>
      <c r="K4" s="193" t="inlineStr">
        <is>
          <t>AUROC</t>
        </is>
      </c>
      <c r="L4" s="193" t="inlineStr">
        <is>
          <t>Confusion matrix</t>
        </is>
      </c>
    </row>
    <row r="5">
      <c r="A5" s="0" t="inlineStr">
        <is>
          <t>Audio + Text</t>
        </is>
      </c>
      <c r="B5" s="0" t="inlineStr">
        <is>
          <t>Control</t>
        </is>
      </c>
      <c r="D5" s="194" t="n">
        <v>0.675</v>
      </c>
      <c r="E5" s="194" t="n">
        <v>0.8</v>
      </c>
      <c r="F5" s="194" t="n">
        <v>0.4666666666666667</v>
      </c>
      <c r="G5" s="194" t="n">
        <v>0.1333333333333333</v>
      </c>
      <c r="H5" s="194" t="n">
        <v>0.08108108108108109</v>
      </c>
      <c r="I5" s="194" t="n">
        <v>0.9397590361445783</v>
      </c>
      <c r="J5" s="194" t="n">
        <v>0.5104200586128297</v>
      </c>
      <c r="K5" s="194" t="n">
        <v>0.606317</v>
      </c>
      <c r="L5" s="0" t="inlineStr">
        <is>
          <t>[[3, 34], [5, 78]]</t>
        </is>
      </c>
    </row>
    <row r="6">
      <c r="A6" s="0" t="inlineStr">
        <is>
          <t>Audio + Text</t>
        </is>
      </c>
      <c r="B6" s="0" t="inlineStr">
        <is>
          <t>Subject OS 0.75</t>
        </is>
      </c>
      <c r="C6" s="0" t="n">
        <v>1337</v>
      </c>
      <c r="D6" s="194" t="n">
        <v>0.6583333333333333</v>
      </c>
      <c r="E6" s="194" t="n">
        <v>0.7853403141361257</v>
      </c>
      <c r="F6" s="194" t="n">
        <v>0.4743028101292873</v>
      </c>
      <c r="G6" s="194" t="n">
        <v>0.163265306122449</v>
      </c>
      <c r="H6" s="194" t="n">
        <v>0.1081081081081081</v>
      </c>
      <c r="I6" s="194" t="n">
        <v>0.9036144578313253</v>
      </c>
      <c r="J6" s="194" t="n">
        <v>0.5058612829697167</v>
      </c>
      <c r="K6" s="194" t="n">
        <v>0.587431</v>
      </c>
      <c r="L6" s="0" t="inlineStr">
        <is>
          <t>[[4, 33], [8, 75]]</t>
        </is>
      </c>
    </row>
    <row r="7">
      <c r="A7" s="0" t="inlineStr">
        <is>
          <t>Audio + Text</t>
        </is>
      </c>
      <c r="B7" s="0" t="inlineStr">
        <is>
          <t>Subject OS 0.75</t>
        </is>
      </c>
      <c r="C7" s="0" t="n">
        <v>2024</v>
      </c>
      <c r="D7" s="194" t="n">
        <v>0.65</v>
      </c>
      <c r="E7" s="194" t="n">
        <v>0.7789473684210526</v>
      </c>
      <c r="F7" s="194" t="n">
        <v>0.4694736842105263</v>
      </c>
      <c r="G7" s="194" t="n">
        <v>0.16</v>
      </c>
      <c r="H7" s="194" t="n">
        <v>0.1081081081081081</v>
      </c>
      <c r="I7" s="194" t="n">
        <v>0.8915662650602409</v>
      </c>
      <c r="J7" s="194" t="n">
        <v>0.4998371865841745</v>
      </c>
      <c r="K7" s="194" t="n">
        <v>0.607294</v>
      </c>
      <c r="L7" s="0" t="inlineStr">
        <is>
          <t>[[4, 33], [9, 74]]</t>
        </is>
      </c>
    </row>
    <row r="8">
      <c r="A8" s="0" t="inlineStr">
        <is>
          <t>Audio + Text</t>
        </is>
      </c>
      <c r="B8" s="0" t="inlineStr">
        <is>
          <t>Subject OS 0.75</t>
        </is>
      </c>
      <c r="C8" s="0" t="n">
        <v>7</v>
      </c>
      <c r="D8" s="194" t="n">
        <v>0.6583333333333333</v>
      </c>
      <c r="E8" s="194" t="n">
        <v>0.7853403141361257</v>
      </c>
      <c r="F8" s="194" t="n">
        <v>0.4743028101292873</v>
      </c>
      <c r="G8" s="194" t="n">
        <v>0.163265306122449</v>
      </c>
      <c r="H8" s="194" t="n">
        <v>0.1081081081081081</v>
      </c>
      <c r="I8" s="194" t="n">
        <v>0.9036144578313253</v>
      </c>
      <c r="J8" s="194" t="n">
        <v>0.5058612829697167</v>
      </c>
      <c r="K8" s="194" t="n">
        <v>0.579941</v>
      </c>
      <c r="L8" s="0" t="inlineStr">
        <is>
          <t>[[4, 33], [8, 75]]</t>
        </is>
      </c>
    </row>
    <row r="9">
      <c r="A9" s="0" t="inlineStr">
        <is>
          <t>Audio only</t>
        </is>
      </c>
      <c r="B9" s="0" t="inlineStr">
        <is>
          <t>Control</t>
        </is>
      </c>
      <c r="D9" s="194" t="n">
        <v>0.7166666666666667</v>
      </c>
      <c r="E9" s="194" t="n">
        <v>0.83</v>
      </c>
      <c r="F9" s="194" t="n">
        <v>0.49</v>
      </c>
      <c r="G9" s="194" t="n">
        <v>0.15</v>
      </c>
      <c r="H9" s="194" t="n">
        <v>0.08108108108108109</v>
      </c>
      <c r="I9" s="194" t="n">
        <v>1</v>
      </c>
      <c r="J9" s="194" t="n">
        <v>0.5405405405405406</v>
      </c>
      <c r="K9" s="194" t="n">
        <v>0.609573</v>
      </c>
      <c r="L9" s="0" t="inlineStr">
        <is>
          <t>[[3, 34], [0, 83]]</t>
        </is>
      </c>
    </row>
    <row r="10">
      <c r="A10" s="0" t="inlineStr">
        <is>
          <t>Audio only</t>
        </is>
      </c>
      <c r="B10" s="0" t="inlineStr">
        <is>
          <t>Subject OS 0.75</t>
        </is>
      </c>
      <c r="C10" s="0" t="n">
        <v>1337</v>
      </c>
      <c r="D10" s="194" t="n">
        <v>0.6833333333333333</v>
      </c>
      <c r="E10" s="194" t="n">
        <v>0.7999999999999999</v>
      </c>
      <c r="F10" s="194" t="n">
        <v>0.52</v>
      </c>
      <c r="G10" s="194" t="n">
        <v>0.24</v>
      </c>
      <c r="H10" s="194" t="n">
        <v>0.1621621621621622</v>
      </c>
      <c r="I10" s="194" t="n">
        <v>0.9156626506024096</v>
      </c>
      <c r="J10" s="194" t="n">
        <v>0.5389124063822859</v>
      </c>
      <c r="K10" s="194" t="n">
        <v>0.661022</v>
      </c>
      <c r="L10" s="0" t="inlineStr">
        <is>
          <t>[[6, 31], [7, 76]]</t>
        </is>
      </c>
    </row>
    <row r="11">
      <c r="A11" s="0" t="inlineStr">
        <is>
          <t>Audio only</t>
        </is>
      </c>
      <c r="B11" s="0" t="inlineStr">
        <is>
          <t>Subject OS 0.75</t>
        </is>
      </c>
      <c r="C11" s="0" t="n">
        <v>2024</v>
      </c>
      <c r="D11" s="194" t="n">
        <v>0.6916666666666667</v>
      </c>
      <c r="E11" s="194" t="n">
        <v>0.8082901554404145</v>
      </c>
      <c r="F11" s="194" t="n">
        <v>0.5105280564436115</v>
      </c>
      <c r="G11" s="194" t="n">
        <v>0.2127659574468085</v>
      </c>
      <c r="H11" s="194" t="n">
        <v>0.1351351351351351</v>
      </c>
      <c r="I11" s="194" t="n">
        <v>0.9397590361445783</v>
      </c>
      <c r="J11" s="194" t="n">
        <v>0.5374470856398568</v>
      </c>
      <c r="K11" s="194" t="n">
        <v>0.6440900000000001</v>
      </c>
      <c r="L11" s="0" t="inlineStr">
        <is>
          <t>[[5, 32], [5, 78]]</t>
        </is>
      </c>
    </row>
    <row r="12">
      <c r="A12" s="0" t="inlineStr">
        <is>
          <t>Audio only</t>
        </is>
      </c>
      <c r="B12" s="0" t="inlineStr">
        <is>
          <t>Subject OS 0.75</t>
        </is>
      </c>
      <c r="C12" s="0" t="n">
        <v>7</v>
      </c>
      <c r="D12" s="194" t="n">
        <v>0.7166666666666667</v>
      </c>
      <c r="E12" s="194" t="n">
        <v>0.8247422680412371</v>
      </c>
      <c r="F12" s="194" t="n">
        <v>0.5428059166293142</v>
      </c>
      <c r="G12" s="194" t="n">
        <v>0.2608695652173914</v>
      </c>
      <c r="H12" s="194" t="n">
        <v>0.1621621621621622</v>
      </c>
      <c r="I12" s="194" t="n">
        <v>0.963855421686747</v>
      </c>
      <c r="J12" s="194" t="n">
        <v>0.5630087919244546</v>
      </c>
      <c r="K12" s="194" t="n">
        <v>0.662651</v>
      </c>
      <c r="L12" s="0" t="inlineStr">
        <is>
          <t>[[6, 31], [3, 80]]</t>
        </is>
      </c>
    </row>
    <row r="13">
      <c r="A13" s="0" t="inlineStr">
        <is>
          <t>Text only</t>
        </is>
      </c>
      <c r="B13" s="0" t="inlineStr">
        <is>
          <t>Control</t>
        </is>
      </c>
      <c r="D13" s="194" t="n">
        <v>0.6416666666666667</v>
      </c>
      <c r="E13" s="194" t="n">
        <v>0.7393939393939394</v>
      </c>
      <c r="F13" s="194" t="n">
        <v>0.583030303030303</v>
      </c>
      <c r="G13" s="194" t="n">
        <v>0.4266666666666667</v>
      </c>
      <c r="H13" s="194" t="n">
        <v>0.4324324324324325</v>
      </c>
      <c r="I13" s="194" t="n">
        <v>0.7349397590361446</v>
      </c>
      <c r="J13" s="194" t="n">
        <v>0.5836860957342885</v>
      </c>
      <c r="K13" s="194" t="n">
        <v>0.646369</v>
      </c>
      <c r="L13" s="0" t="inlineStr">
        <is>
          <t>[[16, 21], [22, 61]]</t>
        </is>
      </c>
    </row>
    <row r="14">
      <c r="A14" s="0" t="inlineStr">
        <is>
          <t>Text only</t>
        </is>
      </c>
      <c r="B14" s="0" t="inlineStr">
        <is>
          <t>Subject OS 0.75</t>
        </is>
      </c>
      <c r="C14" s="0" t="n">
        <v>1337</v>
      </c>
      <c r="D14" s="194" t="n">
        <v>0.65</v>
      </c>
      <c r="E14" s="194" t="n">
        <v>0.7469879518072289</v>
      </c>
      <c r="F14" s="194" t="n">
        <v>0.5897101921198307</v>
      </c>
      <c r="G14" s="194" t="n">
        <v>0.4324324324324325</v>
      </c>
      <c r="H14" s="194" t="n">
        <v>0.4324324324324325</v>
      </c>
      <c r="I14" s="194" t="n">
        <v>0.7469879518072289</v>
      </c>
      <c r="J14" s="194" t="n">
        <v>0.5897101921198307</v>
      </c>
      <c r="K14" s="194" t="n">
        <v>0.617063</v>
      </c>
      <c r="L14" s="0" t="inlineStr">
        <is>
          <t>[[16, 21], [21, 62]]</t>
        </is>
      </c>
    </row>
    <row r="15">
      <c r="A15" s="0" t="inlineStr">
        <is>
          <t>Text only</t>
        </is>
      </c>
      <c r="B15" s="0" t="inlineStr">
        <is>
          <t>Subject OS 0.75</t>
        </is>
      </c>
      <c r="C15" s="0" t="n">
        <v>2024</v>
      </c>
      <c r="D15" s="194" t="n">
        <v>0.6416666666666667</v>
      </c>
      <c r="E15" s="194" t="n">
        <v>0.732919254658385</v>
      </c>
      <c r="F15" s="194" t="n">
        <v>0.5943077285950153</v>
      </c>
      <c r="G15" s="194" t="n">
        <v>0.4556962025316456</v>
      </c>
      <c r="H15" s="194" t="n">
        <v>0.4864864864864865</v>
      </c>
      <c r="I15" s="194" t="n">
        <v>0.7108433734939759</v>
      </c>
      <c r="J15" s="194" t="n">
        <v>0.5986649299902311</v>
      </c>
      <c r="K15" s="194" t="n">
        <v>0.647509</v>
      </c>
      <c r="L15" s="0" t="inlineStr">
        <is>
          <t>[[18, 19], [24, 59]]</t>
        </is>
      </c>
    </row>
    <row r="16">
      <c r="A16" s="0" t="inlineStr">
        <is>
          <t>Text only</t>
        </is>
      </c>
      <c r="B16" s="0" t="inlineStr">
        <is>
          <t>Subject OS 0.75</t>
        </is>
      </c>
      <c r="C16" s="0" t="n">
        <v>7</v>
      </c>
      <c r="D16" s="194" t="n">
        <v>0.6666666666666666</v>
      </c>
      <c r="E16" s="194" t="n">
        <v>0.7560975609756098</v>
      </c>
      <c r="F16" s="194" t="n">
        <v>0.6148908857509627</v>
      </c>
      <c r="G16" s="194" t="n">
        <v>0.4736842105263158</v>
      </c>
      <c r="H16" s="194" t="n">
        <v>0.4864864864864865</v>
      </c>
      <c r="I16" s="194" t="n">
        <v>0.7469879518072289</v>
      </c>
      <c r="J16" s="194" t="n">
        <v>0.6167372191468576</v>
      </c>
      <c r="K16" s="194" t="n">
        <v>0.646369</v>
      </c>
      <c r="L16" s="0" t="inlineStr">
        <is>
          <t>[[18, 19], [21, 62]]</t>
        </is>
      </c>
    </row>
    <row r="18">
      <c r="A18" s="195" t="inlineStr">
        <is>
          <t>Stage 3 gate</t>
        </is>
      </c>
    </row>
    <row r="20">
      <c r="A20" s="193" t="inlineStr">
        <is>
          <t>Modality</t>
        </is>
      </c>
      <c r="B20" s="193" t="inlineStr">
        <is>
          <t>Control Macro F1</t>
        </is>
      </c>
      <c r="C20" s="193" t="inlineStr">
        <is>
          <t>OS mean Macro F1</t>
        </is>
      </c>
      <c r="D20" s="193" t="inlineStr">
        <is>
          <t>Mean gain</t>
        </is>
      </c>
      <c r="E20" s="193" t="inlineStr">
        <is>
          <t>Seeds beating</t>
        </is>
      </c>
      <c r="F20" s="193" t="inlineStr">
        <is>
          <t>Mean negative-recall gain</t>
        </is>
      </c>
      <c r="G20" s="193" t="inlineStr">
        <is>
          <t>Positive-recall loss</t>
        </is>
      </c>
      <c r="H20" s="193" t="inlineStr">
        <is>
          <t>Qualifies</t>
        </is>
      </c>
    </row>
    <row r="21">
      <c r="A21" s="0" t="inlineStr">
        <is>
          <t>Audio + Text</t>
        </is>
      </c>
      <c r="B21" s="0" t="n">
        <v>0.4666666666666667</v>
      </c>
      <c r="C21" s="0" t="n">
        <v>0.4726931014897003</v>
      </c>
      <c r="D21" s="194" t="n">
        <v>0.006026434823033648</v>
      </c>
      <c r="E21" s="0" t="n">
        <v>3</v>
      </c>
      <c r="F21" s="194" t="n">
        <v>0.02702702702702703</v>
      </c>
      <c r="G21" s="194" t="n">
        <v>0.04016064257028115</v>
      </c>
      <c r="H21" s="0" t="inlineStr">
        <is>
          <t>FAIL</t>
        </is>
      </c>
    </row>
    <row r="22">
      <c r="A22" s="0" t="inlineStr">
        <is>
          <t>Audio only</t>
        </is>
      </c>
      <c r="B22" s="0" t="n">
        <v>0.49</v>
      </c>
      <c r="C22" s="0" t="n">
        <v>0.5244446576909753</v>
      </c>
      <c r="D22" s="194" t="n">
        <v>0.03444465769097527</v>
      </c>
      <c r="E22" s="0" t="n">
        <v>3</v>
      </c>
      <c r="F22" s="194" t="n">
        <v>0.07207207207207207</v>
      </c>
      <c r="G22" s="194" t="n">
        <v>0.06024096385542169</v>
      </c>
      <c r="H22" s="0" t="inlineStr">
        <is>
          <t>PASS</t>
        </is>
      </c>
    </row>
    <row r="23">
      <c r="A23" s="0" t="inlineStr">
        <is>
          <t>Text only</t>
        </is>
      </c>
      <c r="B23" s="0" t="n">
        <v>0.583030303030303</v>
      </c>
      <c r="C23" s="0" t="n">
        <v>0.5996362688219362</v>
      </c>
      <c r="D23" s="194" t="n">
        <v>0.01660596579163324</v>
      </c>
      <c r="E23" s="0" t="n">
        <v>3</v>
      </c>
      <c r="F23" s="194" t="n">
        <v>0.03603603603603604</v>
      </c>
      <c r="G23" s="194" t="n">
        <v>7.401486830834377e-17</v>
      </c>
      <c r="H23" s="0" t="inlineStr">
        <is>
          <t>FAIL</t>
        </is>
      </c>
    </row>
    <row r="27">
      <c r="A27" s="195" t="inlineStr">
        <is>
          <t>Stage 4 matched Qwen pilot</t>
        </is>
      </c>
    </row>
    <row r="29">
      <c r="A29" s="193" t="inlineStr">
        <is>
          <t>Profile</t>
        </is>
      </c>
      <c r="B29" s="193" t="inlineStr">
        <is>
          <t>Fold 0 selected Macro F1</t>
        </is>
      </c>
      <c r="C29" s="193" t="inlineStr">
        <is>
          <t>Fold 1 selected Macro F1</t>
        </is>
      </c>
      <c r="D29" s="193" t="inlineStr">
        <is>
          <t>Fold mean</t>
        </is>
      </c>
      <c r="E29" s="193" t="inlineStr">
        <is>
          <t>Pooled Macro F1</t>
        </is>
      </c>
      <c r="F29" s="193" t="inlineStr">
        <is>
          <t>Pooled negative recall</t>
        </is>
      </c>
      <c r="G29" s="193" t="inlineStr">
        <is>
          <t>Pooled positive recall</t>
        </is>
      </c>
      <c r="H29" s="193" t="inlineStr">
        <is>
          <t>Stage 5</t>
        </is>
      </c>
    </row>
    <row r="30">
      <c r="A30" s="0" t="inlineStr">
        <is>
          <t>Weighted control</t>
        </is>
      </c>
      <c r="B30" s="0" t="n">
        <v>0.533106960950764</v>
      </c>
      <c r="C30" s="0" t="n">
        <v>0.5322245322245323</v>
      </c>
      <c r="D30" s="194" t="n">
        <v>0.5326657465876481</v>
      </c>
      <c r="E30" s="194" t="n">
        <v>0.5404411764705883</v>
      </c>
      <c r="F30" s="194" t="n">
        <v>0.375</v>
      </c>
      <c r="G30" s="194" t="n">
        <v>0.7058823529411765</v>
      </c>
      <c r="H30" s="0" t="inlineStr">
        <is>
          <t>STOP</t>
        </is>
      </c>
    </row>
    <row r="31">
      <c r="A31" s="0" t="inlineStr">
        <is>
          <t>Subject OS 0.75</t>
        </is>
      </c>
      <c r="B31" s="0" t="n">
        <v>0.4999999999999999</v>
      </c>
      <c r="C31" s="0" t="n">
        <v>0.592074592074592</v>
      </c>
      <c r="D31" s="194" t="n">
        <v>0.546037296037296</v>
      </c>
      <c r="E31" s="194" t="n">
        <v>0.5558672276764843</v>
      </c>
      <c r="F31" s="194" t="n">
        <v>0.375</v>
      </c>
      <c r="G31" s="194" t="n">
        <v>0.7352941176470589</v>
      </c>
      <c r="H31" s="0" t="inlineStr">
        <is>
          <t>STOP</t>
        </is>
      </c>
    </row>
    <row r="33">
      <c r="A33" s="0" t="inlineStr">
        <is>
          <t>Mean selected-fold gain</t>
        </is>
      </c>
      <c r="B33" s="0" t="n">
        <v>0.01337154944964783</v>
      </c>
    </row>
    <row r="34">
      <c r="A34" s="0" t="inlineStr">
        <is>
          <t>Minimum selected-fold gain</t>
        </is>
      </c>
      <c r="B34" s="0" t="n">
        <v>-0.0331069609507641</v>
      </c>
    </row>
    <row r="35">
      <c r="A35" s="0" t="inlineStr">
        <is>
          <t>Pooled Macro F1 non-inferiority</t>
        </is>
      </c>
      <c r="B35" s="0" t="b">
        <v>1</v>
      </c>
    </row>
    <row r="36">
      <c r="A36" s="0" t="inlineStr">
        <is>
          <t>Pooled negative-recall non-inferiority</t>
        </is>
      </c>
      <c r="B36" s="0" t="b">
        <v>1</v>
      </c>
    </row>
    <row r="38">
      <c r="A38" s="0" t="inlineStr">
        <is>
          <t>Execution</t>
        </is>
      </c>
      <c r="B38" s="192" t="inlineStr">
        <is>
          <t>86 Slurm jobs accounted: 85 completed 0:0; job 43809957 is the documented smoke configuration failure, corrected by 43810107.</t>
        </is>
      </c>
    </row>
    <row r="39">
      <c r="A39" s="0" t="inlineStr">
        <is>
          <t>Acceptance</t>
        </is>
      </c>
      <c r="B39" s="192" t="inlineStr">
        <is>
          <t>Stages 2-4 audits pass; zero unexpected log signatures; Stage 5 not submitted because the predeclared pilot gate failed.</t>
        </is>
      </c>
    </row>
  </sheetData>
  <mergeCells count="6">
    <mergeCell ref="A2:L2"/>
    <mergeCell ref="B38:L38"/>
    <mergeCell ref="B39:L39"/>
    <mergeCell ref="A1:L1"/>
    <mergeCell ref="A18:L18"/>
    <mergeCell ref="A27:L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20" customWidth="1" style="119" min="2" max="2"/>
    <col width="20" customWidth="1" style="119" min="3" max="3"/>
    <col width="18" customWidth="1" style="119" min="4" max="4"/>
    <col width="24" customWidth="1" style="119" min="5" max="5"/>
    <col width="24" customWidth="1" style="119" min="6" max="6"/>
    <col width="23" customWidth="1" style="119" min="7" max="7"/>
  </cols>
  <sheetData>
    <row r="1">
      <c r="A1" s="191" t="inlineStr">
        <is>
          <t>Turkish BDI&gt;=17: Baseline vs Subject Oversampling</t>
        </is>
      </c>
    </row>
    <row r="2">
      <c r="A2" s="192" t="inlineStr">
        <is>
          <t>Hidden-state values are five-fold pooled results; oversampling is the mean of seeds 1337, 2024, and 7. Qwen values are the folds 0-1 pilot.</t>
        </is>
      </c>
    </row>
    <row r="4">
      <c r="A4" s="195" t="inlineStr">
        <is>
          <t>Hidden-state XGBoost comparison</t>
        </is>
      </c>
    </row>
    <row r="6">
      <c r="A6" s="196" t="inlineStr">
        <is>
          <t>Modality</t>
        </is>
      </c>
      <c r="B6" s="196" t="inlineStr">
        <is>
          <t>Baseline Macro F1</t>
        </is>
      </c>
      <c r="C6" s="196" t="inlineStr">
        <is>
          <t>OS mean Macro F1</t>
        </is>
      </c>
      <c r="D6" s="196" t="inlineStr">
        <is>
          <t>Macro F1 delta</t>
        </is>
      </c>
      <c r="E6" s="196" t="inlineStr">
        <is>
          <t>Baseline negative recall</t>
        </is>
      </c>
      <c r="F6" s="196" t="inlineStr">
        <is>
          <t>OS mean negative recall</t>
        </is>
      </c>
      <c r="G6" s="196" t="inlineStr">
        <is>
          <t>Negative-recall delta</t>
        </is>
      </c>
    </row>
    <row r="7">
      <c r="A7" s="0" t="inlineStr">
        <is>
          <t>Audio + Text</t>
        </is>
      </c>
      <c r="B7" s="194" t="n">
        <v>0.4666666666666667</v>
      </c>
      <c r="C7" s="197" t="n">
        <v>0.4726931014897004</v>
      </c>
      <c r="D7" s="197" t="n">
        <v>0.006026434823033722</v>
      </c>
      <c r="E7" s="194" t="n">
        <v>0.08108108108108109</v>
      </c>
      <c r="F7" s="197" t="n">
        <v>0.1081081081081081</v>
      </c>
      <c r="G7" s="197" t="n">
        <v>0.02702702702702703</v>
      </c>
    </row>
    <row r="8">
      <c r="A8" s="0" t="inlineStr">
        <is>
          <t>Audio only</t>
        </is>
      </c>
      <c r="B8" s="194" t="n">
        <v>0.49</v>
      </c>
      <c r="C8" s="197" t="n">
        <v>0.5244446576909753</v>
      </c>
      <c r="D8" s="197" t="n">
        <v>0.03444465769097527</v>
      </c>
      <c r="E8" s="194" t="n">
        <v>0.08108108108108109</v>
      </c>
      <c r="F8" s="197" t="n">
        <v>0.1531531531531532</v>
      </c>
      <c r="G8" s="197" t="n">
        <v>0.07207207207207209</v>
      </c>
    </row>
    <row r="9">
      <c r="A9" s="0" t="inlineStr">
        <is>
          <t>Text only</t>
        </is>
      </c>
      <c r="B9" s="194" t="n">
        <v>0.583030303030303</v>
      </c>
      <c r="C9" s="197" t="n">
        <v>0.5996362688219362</v>
      </c>
      <c r="D9" s="197" t="n">
        <v>0.0166059657916332</v>
      </c>
      <c r="E9" s="194" t="n">
        <v>0.4324324324324325</v>
      </c>
      <c r="F9" s="197" t="n">
        <v>0.4684684684684685</v>
      </c>
      <c r="G9" s="197" t="n">
        <v>0.03603603603603606</v>
      </c>
    </row>
    <row r="12">
      <c r="A12" s="195" t="inlineStr">
        <is>
          <t>Matched Qwen audio-only pilot</t>
        </is>
      </c>
    </row>
    <row r="14">
      <c r="A14" s="198" t="inlineStr">
        <is>
          <t>Metric</t>
        </is>
      </c>
      <c r="B14" s="198" t="inlineStr">
        <is>
          <t>Baseline</t>
        </is>
      </c>
      <c r="C14" s="198" t="inlineStr">
        <is>
          <t>Oversampling</t>
        </is>
      </c>
      <c r="D14" s="198" t="inlineStr">
        <is>
          <t>Delta</t>
        </is>
      </c>
      <c r="E14" s="198" t="inlineStr">
        <is>
          <t>Gate result</t>
        </is>
      </c>
    </row>
    <row r="15">
      <c r="A15" s="0" t="inlineStr">
        <is>
          <t>Pooled Macro F1</t>
        </is>
      </c>
      <c r="B15" s="194" t="n">
        <v>0.5404411764705883</v>
      </c>
      <c r="C15" s="194" t="n">
        <v>0.5558672276764843</v>
      </c>
      <c r="D15" s="194" t="n">
        <v>0.01542605120589602</v>
      </c>
      <c r="E15" s="0" t="inlineStr">
        <is>
          <t>PASS</t>
        </is>
      </c>
    </row>
    <row r="16">
      <c r="A16" s="0" t="inlineStr">
        <is>
          <t>Pooled negative recall</t>
        </is>
      </c>
      <c r="B16" s="194" t="n">
        <v>0.375</v>
      </c>
      <c r="C16" s="194" t="n">
        <v>0.375</v>
      </c>
      <c r="D16" s="194" t="n">
        <v>0</v>
      </c>
      <c r="E16" s="0" t="inlineStr">
        <is>
          <t>PASS</t>
        </is>
      </c>
    </row>
    <row r="17">
      <c r="A17" s="0" t="inlineStr">
        <is>
          <t>Pooled positive recall</t>
        </is>
      </c>
      <c r="B17" s="194" t="n">
        <v>0.7058823529411765</v>
      </c>
      <c r="C17" s="194" t="n">
        <v>0.7352941176470589</v>
      </c>
      <c r="D17" s="194" t="n">
        <v>0.02941176470588236</v>
      </c>
      <c r="E17" s="0" t="inlineStr">
        <is>
          <t>Diagnostic</t>
        </is>
      </c>
    </row>
    <row r="18">
      <c r="A18" s="0" t="inlineStr">
        <is>
          <t>Mean selected-fold Macro F1 gain</t>
        </is>
      </c>
      <c r="D18" s="194" t="n">
        <v>0.01337154944964783</v>
      </c>
      <c r="E18" s="0" t="inlineStr">
        <is>
          <t>FAIL (&lt;0.015)</t>
        </is>
      </c>
    </row>
    <row r="19">
      <c r="A19" s="0" t="inlineStr">
        <is>
          <t>Minimum selected-fold Macro F1 gain</t>
        </is>
      </c>
      <c r="D19" s="194" t="n">
        <v>-0.0331069609507641</v>
      </c>
      <c r="E19" s="0" t="inlineStr">
        <is>
          <t>FAIL (&lt;-0.03)</t>
        </is>
      </c>
    </row>
    <row r="21">
      <c r="A21" s="0" t="inlineStr">
        <is>
          <t>Decision</t>
        </is>
      </c>
      <c r="B21" s="192" t="inlineStr">
        <is>
          <t>Oversampling improved pooled Qwen Macro F1, but Stage 5 was not run because both selected-fold gate criteria failed.</t>
        </is>
      </c>
    </row>
  </sheetData>
  <mergeCells count="5">
    <mergeCell ref="A12:E12"/>
    <mergeCell ref="A1:G1"/>
    <mergeCell ref="A4:G4"/>
    <mergeCell ref="A2:G2"/>
    <mergeCell ref="B21:G21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996"/>
  <sheetViews>
    <sheetView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20" customWidth="1" style="119" min="1" max="1"/>
    <col width="18" customWidth="1" style="119" min="2" max="2"/>
    <col width="16" customWidth="1" style="119" min="3" max="3"/>
    <col width="39" customWidth="1" style="119" min="4" max="4"/>
    <col width="11" customWidth="1" style="119" min="5" max="5"/>
    <col width="12" customWidth="1" style="119" min="6" max="6"/>
    <col width="11" customWidth="1" style="119" min="7" max="7"/>
    <col width="10" customWidth="1" style="119" min="8" max="8"/>
    <col width="11" customWidth="1" style="119" min="9" max="10"/>
    <col width="10" customWidth="1" style="119" min="11" max="11"/>
    <col width="19" customWidth="1" style="119" min="12" max="12"/>
    <col width="22" customWidth="1" style="119" min="13" max="13"/>
    <col width="8.710000000000001" customWidth="1" style="119" min="14" max="26"/>
  </cols>
  <sheetData>
    <row r="1" ht="30" customHeight="1" s="119">
      <c r="A1" s="8" t="inlineStr">
        <is>
          <t>Combined Depression Detection Results</t>
        </is>
      </c>
    </row>
    <row r="2" ht="34" customHeight="1" s="119">
      <c r="A2" s="151" t="inlineStr">
        <is>
          <t>Comparable in-repository results only; paper scores from different evaluation sets were removed. Green marks the highest numeric value within each dataset. D3TEC audio LLMs and hidden heads use the response-normalized hierarchy; each of 27 responses has one subject vote. Androids Interview rows are score-based LLM results; no separate classifier head was run.</t>
        </is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</row>
    <row r="4" ht="31.5" customHeight="1" s="119">
      <c r="A4" s="17" t="inlineStr">
        <is>
          <t>Dataset</t>
        </is>
      </c>
      <c r="B4" s="19" t="inlineStr">
        <is>
          <t>Source</t>
        </is>
      </c>
      <c r="C4" s="19" t="inlineStr">
        <is>
          <t>Modality</t>
        </is>
      </c>
      <c r="D4" s="19" t="inlineStr">
        <is>
          <t>Method / Classifier</t>
        </is>
      </c>
      <c r="E4" s="19" t="inlineStr">
        <is>
          <t>Accuracy</t>
        </is>
      </c>
      <c r="F4" s="19" t="inlineStr">
        <is>
          <t>Positive F1</t>
        </is>
      </c>
      <c r="G4" s="19" t="inlineStr">
        <is>
          <t>Precision</t>
        </is>
      </c>
      <c r="H4" s="19" t="inlineStr">
        <is>
          <t>Recall</t>
        </is>
      </c>
      <c r="I4" s="19" t="inlineStr">
        <is>
          <t>Macro F1</t>
        </is>
      </c>
      <c r="J4" s="19" t="inlineStr">
        <is>
          <t>Negative F1</t>
        </is>
      </c>
      <c r="K4" s="19" t="inlineStr">
        <is>
          <t>AUROC</t>
        </is>
      </c>
      <c r="L4" s="19" t="inlineStr">
        <is>
          <t>All-Positive Baseline F1</t>
        </is>
      </c>
      <c r="M4" s="25" t="inlineStr">
        <is>
          <t>Confusion Matrix</t>
        </is>
      </c>
    </row>
    <row r="5" ht="21" customHeight="1" s="119">
      <c r="A5" s="152" t="inlineStr">
        <is>
          <t>DAIC</t>
        </is>
      </c>
      <c r="B5" s="153" t="inlineStr">
        <is>
          <t>Our LLM</t>
        </is>
      </c>
      <c r="C5" s="152" t="inlineStr">
        <is>
          <t>Audio + Text</t>
        </is>
      </c>
      <c r="D5" s="152" t="inlineStr">
        <is>
          <t>Fine-tuned multimodal LLM</t>
        </is>
      </c>
      <c r="E5" s="154" t="n">
        <v>0.766</v>
      </c>
      <c r="F5" s="154" t="n">
        <v>0.718</v>
      </c>
      <c r="G5" s="154" t="n">
        <v>0.5600000000000001</v>
      </c>
      <c r="H5" s="208" t="n">
        <v>1</v>
      </c>
      <c r="I5" s="154" t="n">
        <v>0.759</v>
      </c>
      <c r="J5" s="154" t="n">
        <v>0.8</v>
      </c>
      <c r="K5" s="154" t="n"/>
      <c r="L5" s="156" t="n">
        <v>0.459</v>
      </c>
      <c r="M5" s="157" t="n"/>
    </row>
    <row r="6" ht="21" customHeight="1" s="119">
      <c r="A6" s="152" t="inlineStr">
        <is>
          <t>DAIC</t>
        </is>
      </c>
      <c r="B6" s="153" t="inlineStr">
        <is>
          <t>Our LLM</t>
        </is>
      </c>
      <c r="C6" s="152" t="inlineStr">
        <is>
          <t>Audio only</t>
        </is>
      </c>
      <c r="D6" s="152" t="inlineStr">
        <is>
          <t>Fine-tuned audio LLM</t>
        </is>
      </c>
      <c r="E6" s="154" t="n">
        <v>0.681</v>
      </c>
      <c r="F6" s="154" t="n">
        <v>0.595</v>
      </c>
      <c r="G6" s="154" t="n">
        <v>0.478</v>
      </c>
      <c r="H6" s="158" t="n">
        <v>0.786</v>
      </c>
      <c r="I6" s="154" t="n">
        <v>0.666</v>
      </c>
      <c r="J6" s="154" t="n">
        <v>0.737</v>
      </c>
      <c r="K6" s="154" t="n"/>
      <c r="L6" s="156" t="n">
        <v>0.459</v>
      </c>
      <c r="M6" s="157" t="n"/>
    </row>
    <row r="7" ht="21" customHeight="1" s="119">
      <c r="A7" s="152" t="inlineStr">
        <is>
          <t>DAIC</t>
        </is>
      </c>
      <c r="B7" s="153" t="inlineStr">
        <is>
          <t>Our LLM</t>
        </is>
      </c>
      <c r="C7" s="152" t="inlineStr">
        <is>
          <t>Text only</t>
        </is>
      </c>
      <c r="D7" s="152" t="inlineStr">
        <is>
          <t>Fine-tuned text LLM</t>
        </is>
      </c>
      <c r="E7" s="154" t="n">
        <v>0.83</v>
      </c>
      <c r="F7" s="154" t="n">
        <v>0.6919999999999999</v>
      </c>
      <c r="G7" s="154" t="n">
        <v>0.75</v>
      </c>
      <c r="H7" s="158" t="n">
        <v>0.643</v>
      </c>
      <c r="I7" s="154" t="n">
        <v>0.787</v>
      </c>
      <c r="J7" s="209" t="n">
        <v>0.882</v>
      </c>
      <c r="K7" s="154" t="n"/>
      <c r="L7" s="156" t="n">
        <v>0.459</v>
      </c>
      <c r="M7" s="157" t="n"/>
    </row>
    <row r="8" ht="21" customHeight="1" s="119">
      <c r="A8" s="152" t="inlineStr">
        <is>
          <t>DAIC</t>
        </is>
      </c>
      <c r="B8" s="153" t="inlineStr">
        <is>
          <t>Hidden-state head</t>
        </is>
      </c>
      <c r="C8" s="152" t="inlineStr">
        <is>
          <t>Audio + Text</t>
        </is>
      </c>
      <c r="D8" s="152" t="inlineStr">
        <is>
          <t>Logistic Regression</t>
        </is>
      </c>
      <c r="E8" s="209" t="n">
        <v>0.851064</v>
      </c>
      <c r="F8" s="209" t="n">
        <v>0.8</v>
      </c>
      <c r="G8" s="154" t="n">
        <v>0.666667</v>
      </c>
      <c r="H8" s="208" t="n">
        <v>1</v>
      </c>
      <c r="I8" s="209" t="n">
        <v>0.840678</v>
      </c>
      <c r="J8" s="154" t="n"/>
      <c r="K8" s="154" t="n">
        <v>0.900433</v>
      </c>
      <c r="L8" s="154" t="n"/>
      <c r="M8" s="157" t="inlineStr">
        <is>
          <t>[[26, 7], [0, 14]]</t>
        </is>
      </c>
    </row>
    <row r="9" ht="21" customHeight="1" s="119">
      <c r="A9" s="152" t="inlineStr">
        <is>
          <t>DAIC</t>
        </is>
      </c>
      <c r="B9" s="153" t="inlineStr">
        <is>
          <t>Hidden-state head</t>
        </is>
      </c>
      <c r="C9" s="152" t="inlineStr">
        <is>
          <t>Audio + Text</t>
        </is>
      </c>
      <c r="D9" s="152" t="inlineStr">
        <is>
          <t>XGBoost (fixed raw)</t>
        </is>
      </c>
      <c r="E9" s="154" t="n">
        <v>0.765957</v>
      </c>
      <c r="F9" s="154" t="n">
        <v>0.62069</v>
      </c>
      <c r="G9" s="154" t="n">
        <v>0.6</v>
      </c>
      <c r="H9" s="158" t="n">
        <v>0.642857</v>
      </c>
      <c r="I9" s="154" t="n">
        <v>0.725729</v>
      </c>
      <c r="J9" s="154" t="n"/>
      <c r="K9" s="154" t="n">
        <v>0.896104</v>
      </c>
      <c r="L9" s="154" t="n"/>
      <c r="M9" s="157" t="inlineStr">
        <is>
          <t>[[27, 6], [5, 9]]</t>
        </is>
      </c>
    </row>
    <row r="10" ht="21" customHeight="1" s="119">
      <c r="A10" s="152" t="inlineStr">
        <is>
          <t>DAIC</t>
        </is>
      </c>
      <c r="B10" s="153" t="inlineStr">
        <is>
          <t>Hidden-state head</t>
        </is>
      </c>
      <c r="C10" s="152" t="inlineStr">
        <is>
          <t>Audio + Text</t>
        </is>
      </c>
      <c r="D10" s="152" t="inlineStr">
        <is>
          <t>XGBoost Optuna (150t d6, seed1337)</t>
        </is>
      </c>
      <c r="E10" s="154" t="n">
        <v>0.808511</v>
      </c>
      <c r="F10" s="154" t="n">
        <v>0.666667</v>
      </c>
      <c r="G10" s="154" t="n">
        <v>0.692308</v>
      </c>
      <c r="H10" s="158" t="n">
        <v>0.642857</v>
      </c>
      <c r="I10" s="154" t="n">
        <v>0.766169</v>
      </c>
      <c r="J10" s="154" t="n"/>
      <c r="K10" s="154" t="n">
        <v>0.887446</v>
      </c>
      <c r="L10" s="154" t="n"/>
      <c r="M10" s="157" t="inlineStr">
        <is>
          <t>[[29, 4], [5, 9]]</t>
        </is>
      </c>
    </row>
    <row r="11" ht="21" customHeight="1" s="119">
      <c r="A11" s="152" t="inlineStr">
        <is>
          <t>DAIC</t>
        </is>
      </c>
      <c r="B11" s="153" t="inlineStr">
        <is>
          <t>Hidden-state head</t>
        </is>
      </c>
      <c r="C11" s="152" t="inlineStr">
        <is>
          <t>Audio only</t>
        </is>
      </c>
      <c r="D11" s="152" t="inlineStr">
        <is>
          <t>Logistic Regression</t>
        </is>
      </c>
      <c r="E11" s="154" t="n">
        <v>0.723404</v>
      </c>
      <c r="F11" s="154" t="n">
        <v>0.628571</v>
      </c>
      <c r="G11" s="154" t="n">
        <v>0.52381</v>
      </c>
      <c r="H11" s="158" t="n">
        <v>0.785714</v>
      </c>
      <c r="I11" s="154" t="n">
        <v>0.704116</v>
      </c>
      <c r="J11" s="154" t="n"/>
      <c r="K11" s="154" t="n">
        <v>0.7792210000000001</v>
      </c>
      <c r="L11" s="154" t="n"/>
      <c r="M11" s="157" t="inlineStr">
        <is>
          <t>[[23, 10], [3, 11]]</t>
        </is>
      </c>
    </row>
    <row r="12" ht="21" customHeight="1" s="119">
      <c r="A12" s="152" t="inlineStr">
        <is>
          <t>DAIC</t>
        </is>
      </c>
      <c r="B12" s="153" t="inlineStr">
        <is>
          <t>Hidden-state head</t>
        </is>
      </c>
      <c r="C12" s="152" t="inlineStr">
        <is>
          <t>Audio only</t>
        </is>
      </c>
      <c r="D12" s="152" t="inlineStr">
        <is>
          <t>XGBoost (fixed raw)</t>
        </is>
      </c>
      <c r="E12" s="154" t="n">
        <v>0.765957</v>
      </c>
      <c r="F12" s="154" t="n">
        <v>0.592593</v>
      </c>
      <c r="G12" s="154" t="n">
        <v>0.615385</v>
      </c>
      <c r="H12" s="158" t="n">
        <v>0.571429</v>
      </c>
      <c r="I12" s="154" t="n">
        <v>0.714207</v>
      </c>
      <c r="J12" s="154" t="n"/>
      <c r="K12" s="154" t="n">
        <v>0.781385</v>
      </c>
      <c r="L12" s="154" t="n"/>
      <c r="M12" s="157" t="inlineStr">
        <is>
          <t>[[28, 5], [6, 8]]</t>
        </is>
      </c>
    </row>
    <row r="13" ht="21" customHeight="1" s="119">
      <c r="A13" s="152" t="inlineStr">
        <is>
          <t>DAIC</t>
        </is>
      </c>
      <c r="B13" s="153" t="inlineStr">
        <is>
          <t>Hidden-state head</t>
        </is>
      </c>
      <c r="C13" s="152" t="inlineStr">
        <is>
          <t>Audio only</t>
        </is>
      </c>
      <c r="D13" s="152" t="inlineStr">
        <is>
          <t>XGBoost Optuna (150t d6, seed1337)</t>
        </is>
      </c>
      <c r="E13" s="154" t="n">
        <v>0.723404</v>
      </c>
      <c r="F13" s="154" t="n">
        <v>0.648649</v>
      </c>
      <c r="G13" s="154" t="n">
        <v>0.521739</v>
      </c>
      <c r="H13" s="158" t="n">
        <v>0.857143</v>
      </c>
      <c r="I13" s="154" t="n">
        <v>0.7102889999999999</v>
      </c>
      <c r="J13" s="154" t="n"/>
      <c r="K13" s="154" t="n">
        <v>0.80303</v>
      </c>
      <c r="L13" s="154" t="n"/>
      <c r="M13" s="157" t="inlineStr">
        <is>
          <t>[[22, 11], [2, 12]]</t>
        </is>
      </c>
    </row>
    <row r="14" ht="21" customHeight="1" s="119">
      <c r="A14" s="152" t="inlineStr">
        <is>
          <t>DAIC</t>
        </is>
      </c>
      <c r="B14" s="153" t="inlineStr">
        <is>
          <t>Hidden-state head</t>
        </is>
      </c>
      <c r="C14" s="152" t="inlineStr">
        <is>
          <t>Text only</t>
        </is>
      </c>
      <c r="D14" s="152" t="inlineStr">
        <is>
          <t>Logistic Regression</t>
        </is>
      </c>
      <c r="E14" s="209" t="n">
        <v>0.851064</v>
      </c>
      <c r="F14" s="154" t="n">
        <v>0.740741</v>
      </c>
      <c r="G14" s="209" t="n">
        <v>0.769231</v>
      </c>
      <c r="H14" s="158" t="n">
        <v>0.714286</v>
      </c>
      <c r="I14" s="154" t="n">
        <v>0.818132</v>
      </c>
      <c r="J14" s="154" t="n"/>
      <c r="K14" s="154" t="n">
        <v>0.926407</v>
      </c>
      <c r="L14" s="154" t="n"/>
      <c r="M14" s="157" t="inlineStr">
        <is>
          <t>[[30, 3], [4, 10]]</t>
        </is>
      </c>
    </row>
    <row r="15" ht="21" customHeight="1" s="119">
      <c r="A15" s="152" t="inlineStr">
        <is>
          <t>DAIC</t>
        </is>
      </c>
      <c r="B15" s="153" t="inlineStr">
        <is>
          <t>Hidden-state head</t>
        </is>
      </c>
      <c r="C15" s="152" t="inlineStr">
        <is>
          <t>Text only</t>
        </is>
      </c>
      <c r="D15" s="152" t="inlineStr">
        <is>
          <t>XGBoost (fixed raw)</t>
        </is>
      </c>
      <c r="E15" s="154" t="n">
        <v>0.8297870000000001</v>
      </c>
      <c r="F15" s="154" t="n">
        <v>0.692308</v>
      </c>
      <c r="G15" s="154" t="n">
        <v>0.75</v>
      </c>
      <c r="H15" s="158" t="n">
        <v>0.642857</v>
      </c>
      <c r="I15" s="154" t="n">
        <v>0.78733</v>
      </c>
      <c r="J15" s="154" t="n"/>
      <c r="K15" s="209" t="n">
        <v>0.930736</v>
      </c>
      <c r="L15" s="154" t="n"/>
      <c r="M15" s="157" t="inlineStr">
        <is>
          <t>[[30, 3], [5, 9]]</t>
        </is>
      </c>
    </row>
    <row r="16" ht="21" customHeight="1" s="119">
      <c r="A16" s="152" t="inlineStr">
        <is>
          <t>DAIC</t>
        </is>
      </c>
      <c r="B16" s="153" t="inlineStr">
        <is>
          <t>Hidden-state head</t>
        </is>
      </c>
      <c r="C16" s="152" t="inlineStr">
        <is>
          <t>Text only</t>
        </is>
      </c>
      <c r="D16" s="152" t="inlineStr">
        <is>
          <t>XGBoost Optuna (150t d6, seed1337)</t>
        </is>
      </c>
      <c r="E16" s="209" t="n">
        <v>0.851064</v>
      </c>
      <c r="F16" s="154" t="n">
        <v>0.740741</v>
      </c>
      <c r="G16" s="209" t="n">
        <v>0.769231</v>
      </c>
      <c r="H16" s="158" t="n">
        <v>0.714286</v>
      </c>
      <c r="I16" s="154" t="n">
        <v>0.818132</v>
      </c>
      <c r="J16" s="154" t="n"/>
      <c r="K16" s="154" t="n">
        <v>0.917749</v>
      </c>
      <c r="L16" s="154" t="n"/>
      <c r="M16" s="157" t="inlineStr">
        <is>
          <t>[[30, 3], [4, 10]]</t>
        </is>
      </c>
    </row>
    <row r="17" ht="21" customHeight="1" s="119">
      <c r="A17" s="159" t="inlineStr">
        <is>
          <t>CMDC</t>
        </is>
      </c>
      <c r="B17" s="160" t="inlineStr">
        <is>
          <t>Our LLM</t>
        </is>
      </c>
      <c r="C17" s="159" t="inlineStr">
        <is>
          <t>Audio + Text</t>
        </is>
      </c>
      <c r="D17" s="159" t="inlineStr">
        <is>
          <t>Fine-tuned multimodal LLM</t>
        </is>
      </c>
      <c r="E17" s="161" t="n">
        <v>0.908</v>
      </c>
      <c r="F17" s="161" t="n">
        <v>0.896</v>
      </c>
      <c r="G17" s="161" t="n">
        <v>0.871</v>
      </c>
      <c r="H17" s="161" t="n">
        <v>0.96</v>
      </c>
      <c r="I17" s="161" t="n">
        <v>0.905</v>
      </c>
      <c r="J17" s="161" t="n">
        <v>0.914</v>
      </c>
      <c r="K17" s="161" t="n"/>
      <c r="L17" s="156" t="n">
        <v>0.5</v>
      </c>
      <c r="M17" s="162" t="n"/>
    </row>
    <row r="18" ht="21" customHeight="1" s="119">
      <c r="A18" s="159" t="inlineStr">
        <is>
          <t>CMDC</t>
        </is>
      </c>
      <c r="B18" s="160" t="inlineStr">
        <is>
          <t>Our LLM</t>
        </is>
      </c>
      <c r="C18" s="159" t="inlineStr">
        <is>
          <t>Audio only</t>
        </is>
      </c>
      <c r="D18" s="159" t="inlineStr">
        <is>
          <t>Fine-tuned audio LLM</t>
        </is>
      </c>
      <c r="E18" s="161" t="n">
        <v>0.949</v>
      </c>
      <c r="F18" s="161" t="n">
        <v>0.918</v>
      </c>
      <c r="G18" s="161" t="n">
        <v>0.971</v>
      </c>
      <c r="H18" s="161" t="n">
        <v>0.88</v>
      </c>
      <c r="I18" s="161" t="n">
        <v>0.9399999999999999</v>
      </c>
      <c r="J18" s="209" t="n">
        <v>0.962</v>
      </c>
      <c r="K18" s="161" t="n"/>
      <c r="L18" s="156" t="n">
        <v>0.5</v>
      </c>
      <c r="M18" s="162" t="n"/>
    </row>
    <row r="19" ht="21" customHeight="1" s="119">
      <c r="A19" s="159" t="inlineStr">
        <is>
          <t>CMDC</t>
        </is>
      </c>
      <c r="B19" s="160" t="inlineStr">
        <is>
          <t>Our LLM</t>
        </is>
      </c>
      <c r="C19" s="159" t="inlineStr">
        <is>
          <t>Text only</t>
        </is>
      </c>
      <c r="D19" s="159" t="inlineStr">
        <is>
          <t>Fine-tuned text LLM</t>
        </is>
      </c>
      <c r="E19" s="161" t="n">
        <v>0.9360000000000001</v>
      </c>
      <c r="F19" s="161" t="n">
        <v>0.904</v>
      </c>
      <c r="G19" s="161" t="n">
        <v>0.9429999999999999</v>
      </c>
      <c r="H19" s="161" t="n">
        <v>0.887</v>
      </c>
      <c r="I19" s="161" t="n">
        <v>0.927</v>
      </c>
      <c r="J19" s="161" t="n">
        <v>0.95</v>
      </c>
      <c r="K19" s="161" t="n"/>
      <c r="L19" s="156" t="n">
        <v>0.5</v>
      </c>
      <c r="M19" s="162" t="n"/>
    </row>
    <row r="20" ht="21" customHeight="1" s="119">
      <c r="A20" s="159" t="inlineStr">
        <is>
          <t>CMDC</t>
        </is>
      </c>
      <c r="B20" s="160" t="inlineStr">
        <is>
          <t>Hidden-state head</t>
        </is>
      </c>
      <c r="C20" s="159" t="inlineStr">
        <is>
          <t>Audio + Text</t>
        </is>
      </c>
      <c r="D20" s="159" t="inlineStr">
        <is>
          <t>Logistic Regression</t>
        </is>
      </c>
      <c r="E20" s="209" t="n">
        <v>0.987179</v>
      </c>
      <c r="F20" s="209" t="n">
        <v>0.980392</v>
      </c>
      <c r="G20" s="209" t="n">
        <v>1</v>
      </c>
      <c r="H20" s="209" t="n">
        <v>0.961538</v>
      </c>
      <c r="I20" s="209" t="n">
        <v>0.985434</v>
      </c>
      <c r="J20" s="161" t="n"/>
      <c r="K20" s="161" t="n">
        <v>0.9955619999999999</v>
      </c>
      <c r="L20" s="161" t="n"/>
      <c r="M20" s="162" t="inlineStr">
        <is>
          <t>[[52, 0], [1, 25]]</t>
        </is>
      </c>
    </row>
    <row r="21" ht="21" customHeight="1" s="119">
      <c r="A21" s="159" t="inlineStr">
        <is>
          <t>CMDC</t>
        </is>
      </c>
      <c r="B21" s="160" t="inlineStr">
        <is>
          <t>Hidden-state head</t>
        </is>
      </c>
      <c r="C21" s="159" t="inlineStr">
        <is>
          <t>Audio + Text</t>
        </is>
      </c>
      <c r="D21" s="159" t="inlineStr">
        <is>
          <t>XGBoost (fixed raw)</t>
        </is>
      </c>
      <c r="E21" s="161" t="n">
        <v>0.974359</v>
      </c>
      <c r="F21" s="161" t="n">
        <v>0.96</v>
      </c>
      <c r="G21" s="209" t="n">
        <v>1</v>
      </c>
      <c r="H21" s="161" t="n">
        <v>0.923077</v>
      </c>
      <c r="I21" s="161" t="n">
        <v>0.970566</v>
      </c>
      <c r="J21" s="161" t="n"/>
      <c r="K21" s="161" t="n">
        <v>0.993343</v>
      </c>
      <c r="L21" s="161" t="n"/>
      <c r="M21" s="162" t="inlineStr">
        <is>
          <t>[[52, 0], [2, 24]]</t>
        </is>
      </c>
    </row>
    <row r="22" ht="21" customHeight="1" s="119">
      <c r="A22" s="159" t="inlineStr">
        <is>
          <t>CMDC</t>
        </is>
      </c>
      <c r="B22" s="160" t="inlineStr">
        <is>
          <t>Hidden-state head</t>
        </is>
      </c>
      <c r="C22" s="159" t="inlineStr">
        <is>
          <t>Audio + Text</t>
        </is>
      </c>
      <c r="D22" s="159" t="inlineStr">
        <is>
          <t>XGBoost Optuna (150t d6, seed1337)</t>
        </is>
      </c>
      <c r="E22" s="209" t="n">
        <v>0.987179</v>
      </c>
      <c r="F22" s="209" t="n">
        <v>0.980392</v>
      </c>
      <c r="G22" s="209" t="n">
        <v>1</v>
      </c>
      <c r="H22" s="209" t="n">
        <v>0.961538</v>
      </c>
      <c r="I22" s="209" t="n">
        <v>0.985434</v>
      </c>
      <c r="J22" s="161" t="n"/>
      <c r="K22" s="161" t="n">
        <v>0.994083</v>
      </c>
      <c r="L22" s="161" t="n"/>
      <c r="M22" s="162" t="inlineStr">
        <is>
          <t>[[52, 0], [1, 25]]</t>
        </is>
      </c>
    </row>
    <row r="23" ht="21" customHeight="1" s="119">
      <c r="A23" s="159" t="inlineStr">
        <is>
          <t>CMDC</t>
        </is>
      </c>
      <c r="B23" s="160" t="inlineStr">
        <is>
          <t>Hidden-state head</t>
        </is>
      </c>
      <c r="C23" s="159" t="inlineStr">
        <is>
          <t>Audio only</t>
        </is>
      </c>
      <c r="D23" s="159" t="inlineStr">
        <is>
          <t>Logistic Regression</t>
        </is>
      </c>
      <c r="E23" s="209" t="n">
        <v>0.987179</v>
      </c>
      <c r="F23" s="209" t="n">
        <v>0.980392</v>
      </c>
      <c r="G23" s="209" t="n">
        <v>1</v>
      </c>
      <c r="H23" s="209" t="n">
        <v>0.961538</v>
      </c>
      <c r="I23" s="209" t="n">
        <v>0.985434</v>
      </c>
      <c r="J23" s="161" t="n"/>
      <c r="K23" s="161" t="n">
        <v>0.985947</v>
      </c>
      <c r="L23" s="161" t="n"/>
      <c r="M23" s="162" t="inlineStr">
        <is>
          <t>[[52, 0], [1, 25]]</t>
        </is>
      </c>
    </row>
    <row r="24" ht="21" customHeight="1" s="119">
      <c r="A24" s="159" t="inlineStr">
        <is>
          <t>CMDC</t>
        </is>
      </c>
      <c r="B24" s="160" t="inlineStr">
        <is>
          <t>Hidden-state head</t>
        </is>
      </c>
      <c r="C24" s="159" t="inlineStr">
        <is>
          <t>Audio only</t>
        </is>
      </c>
      <c r="D24" s="159" t="inlineStr">
        <is>
          <t>XGBoost (fixed raw)</t>
        </is>
      </c>
      <c r="E24" s="209" t="n">
        <v>0.987179</v>
      </c>
      <c r="F24" s="209" t="n">
        <v>0.980392</v>
      </c>
      <c r="G24" s="209" t="n">
        <v>1</v>
      </c>
      <c r="H24" s="209" t="n">
        <v>0.961538</v>
      </c>
      <c r="I24" s="209" t="n">
        <v>0.985434</v>
      </c>
      <c r="J24" s="161" t="n"/>
      <c r="K24" s="161" t="n">
        <v>0.9852070000000001</v>
      </c>
      <c r="L24" s="161" t="n"/>
      <c r="M24" s="162" t="inlineStr">
        <is>
          <t>[[52, 0], [1, 25]]</t>
        </is>
      </c>
    </row>
    <row r="25" ht="21" customHeight="1" s="119">
      <c r="A25" s="159" t="inlineStr">
        <is>
          <t>CMDC</t>
        </is>
      </c>
      <c r="B25" s="160" t="inlineStr">
        <is>
          <t>Hidden-state head</t>
        </is>
      </c>
      <c r="C25" s="159" t="inlineStr">
        <is>
          <t>Audio only</t>
        </is>
      </c>
      <c r="D25" s="159" t="inlineStr">
        <is>
          <t>XGBoost Optuna (150t d6, seed1337)</t>
        </is>
      </c>
      <c r="E25" s="209" t="n">
        <v>0.987179</v>
      </c>
      <c r="F25" s="209" t="n">
        <v>0.980392</v>
      </c>
      <c r="G25" s="209" t="n">
        <v>1</v>
      </c>
      <c r="H25" s="209" t="n">
        <v>0.961538</v>
      </c>
      <c r="I25" s="209" t="n">
        <v>0.985434</v>
      </c>
      <c r="J25" s="161" t="n"/>
      <c r="K25" s="161" t="n">
        <v>0.988166</v>
      </c>
      <c r="L25" s="161" t="n"/>
      <c r="M25" s="162" t="inlineStr">
        <is>
          <t>[[52, 0], [1, 25]]</t>
        </is>
      </c>
    </row>
    <row r="26" ht="21" customHeight="1" s="119">
      <c r="A26" s="159" t="inlineStr">
        <is>
          <t>CMDC</t>
        </is>
      </c>
      <c r="B26" s="160" t="inlineStr">
        <is>
          <t>Hidden-state head</t>
        </is>
      </c>
      <c r="C26" s="159" t="inlineStr">
        <is>
          <t>Text only</t>
        </is>
      </c>
      <c r="D26" s="159" t="inlineStr">
        <is>
          <t>Logistic Regression</t>
        </is>
      </c>
      <c r="E26" s="209" t="n">
        <v>0.987179</v>
      </c>
      <c r="F26" s="209" t="n">
        <v>0.980392</v>
      </c>
      <c r="G26" s="209" t="n">
        <v>1</v>
      </c>
      <c r="H26" s="209" t="n">
        <v>0.961538</v>
      </c>
      <c r="I26" s="209" t="n">
        <v>0.985434</v>
      </c>
      <c r="J26" s="161" t="n"/>
      <c r="K26" s="209" t="n">
        <v>0.99926</v>
      </c>
      <c r="L26" s="161" t="n"/>
      <c r="M26" s="162" t="inlineStr">
        <is>
          <t>[[52, 0], [1, 25]]</t>
        </is>
      </c>
    </row>
    <row r="27" ht="21" customHeight="1" s="119">
      <c r="A27" s="159" t="inlineStr">
        <is>
          <t>CMDC</t>
        </is>
      </c>
      <c r="B27" s="160" t="inlineStr">
        <is>
          <t>Hidden-state head</t>
        </is>
      </c>
      <c r="C27" s="159" t="inlineStr">
        <is>
          <t>Text only</t>
        </is>
      </c>
      <c r="D27" s="159" t="inlineStr">
        <is>
          <t>XGBoost (fixed raw)</t>
        </is>
      </c>
      <c r="E27" s="161" t="n">
        <v>0.974359</v>
      </c>
      <c r="F27" s="161" t="n">
        <v>0.96</v>
      </c>
      <c r="G27" s="209" t="n">
        <v>1</v>
      </c>
      <c r="H27" s="161" t="n">
        <v>0.923077</v>
      </c>
      <c r="I27" s="161" t="n">
        <v>0.970566</v>
      </c>
      <c r="J27" s="161" t="n"/>
      <c r="K27" s="161" t="n">
        <v>0.998521</v>
      </c>
      <c r="L27" s="161" t="n"/>
      <c r="M27" s="162" t="inlineStr">
        <is>
          <t>[[52, 0], [2, 24]]</t>
        </is>
      </c>
    </row>
    <row r="28" ht="21" customHeight="1" s="119">
      <c r="A28" s="159" t="inlineStr">
        <is>
          <t>CMDC</t>
        </is>
      </c>
      <c r="B28" s="160" t="inlineStr">
        <is>
          <t>Hidden-state head</t>
        </is>
      </c>
      <c r="C28" s="159" t="inlineStr">
        <is>
          <t>Text only</t>
        </is>
      </c>
      <c r="D28" s="159" t="inlineStr">
        <is>
          <t>XGBoost Optuna (150t d6, seed1337)</t>
        </is>
      </c>
      <c r="E28" s="161" t="n">
        <v>0.974359</v>
      </c>
      <c r="F28" s="161" t="n">
        <v>0.961538</v>
      </c>
      <c r="G28" s="161" t="n">
        <v>0.961538</v>
      </c>
      <c r="H28" s="209" t="n">
        <v>0.961538</v>
      </c>
      <c r="I28" s="161" t="n">
        <v>0.971154</v>
      </c>
      <c r="J28" s="161" t="n"/>
      <c r="K28" s="161" t="n">
        <v>0.997041</v>
      </c>
      <c r="L28" s="161" t="n"/>
      <c r="M28" s="162" t="inlineStr">
        <is>
          <t>[[51, 1], [1, 25]]</t>
        </is>
      </c>
    </row>
    <row r="29" ht="21" customHeight="1" s="119">
      <c r="A29" s="163" t="inlineStr">
        <is>
          <t>Turkish (BDI≥17)</t>
        </is>
      </c>
      <c r="B29" s="164" t="inlineStr">
        <is>
          <t>Our LLM</t>
        </is>
      </c>
      <c r="C29" s="163" t="inlineStr">
        <is>
          <t>Audio + Text</t>
        </is>
      </c>
      <c r="D29" s="163" t="inlineStr">
        <is>
          <t>Fine-tuned multimodal LLM</t>
        </is>
      </c>
      <c r="E29" s="165" t="n">
        <v>0.6929999999999999</v>
      </c>
      <c r="F29" s="165" t="n">
        <v>0.8090000000000001</v>
      </c>
      <c r="G29" s="165" t="n">
        <v>0.715</v>
      </c>
      <c r="H29" s="165" t="n">
        <v>0.9399999999999999</v>
      </c>
      <c r="I29" s="165" t="n">
        <v>0.488</v>
      </c>
      <c r="J29" s="165" t="n">
        <v>0.167</v>
      </c>
      <c r="K29" s="165" t="n"/>
      <c r="L29" s="166" t="n">
        <v>0.8179999999999999</v>
      </c>
      <c r="M29" s="167" t="n"/>
    </row>
    <row r="30" ht="21" customHeight="1" s="119">
      <c r="A30" s="163" t="inlineStr">
        <is>
          <t>Turkish (BDI≥17)</t>
        </is>
      </c>
      <c r="B30" s="164" t="inlineStr">
        <is>
          <t>Our LLM</t>
        </is>
      </c>
      <c r="C30" s="163" t="inlineStr">
        <is>
          <t>Audio only</t>
        </is>
      </c>
      <c r="D30" s="163" t="inlineStr">
        <is>
          <t>Fine-tuned audio LLM</t>
        </is>
      </c>
      <c r="E30" s="210" t="n">
        <v>0.759</v>
      </c>
      <c r="F30" s="210" t="n">
        <v>0.847</v>
      </c>
      <c r="G30" s="165" t="n">
        <v>0.76</v>
      </c>
      <c r="H30" s="165" t="n">
        <v>0.965</v>
      </c>
      <c r="I30" s="165" t="n">
        <v>0.613</v>
      </c>
      <c r="J30" s="210" t="n">
        <v>0.379</v>
      </c>
      <c r="K30" s="165" t="n"/>
      <c r="L30" s="166" t="n">
        <v>0.8179999999999999</v>
      </c>
      <c r="M30" s="167" t="n"/>
    </row>
    <row r="31" ht="21" customHeight="1" s="119">
      <c r="A31" s="163" t="inlineStr">
        <is>
          <t>Turkish (BDI≥17)</t>
        </is>
      </c>
      <c r="B31" s="164" t="inlineStr">
        <is>
          <t>Our LLM</t>
        </is>
      </c>
      <c r="C31" s="163" t="inlineStr">
        <is>
          <t>Text only</t>
        </is>
      </c>
      <c r="D31" s="163" t="inlineStr">
        <is>
          <t>Fine-tuned text LLM</t>
        </is>
      </c>
      <c r="E31" s="165" t="n">
        <v>0.709</v>
      </c>
      <c r="F31" s="165" t="n">
        <v>0.821</v>
      </c>
      <c r="G31" s="165" t="n">
        <v>0.716</v>
      </c>
      <c r="H31" s="165" t="n">
        <v>0.964</v>
      </c>
      <c r="I31" s="165" t="n">
        <v>0.512</v>
      </c>
      <c r="J31" s="165" t="n">
        <v>0.203</v>
      </c>
      <c r="K31" s="165" t="n"/>
      <c r="L31" s="166" t="n">
        <v>0.8179999999999999</v>
      </c>
      <c r="M31" s="167" t="n"/>
    </row>
    <row r="32" ht="21" customHeight="1" s="119">
      <c r="A32" s="163" t="inlineStr">
        <is>
          <t>Turkish (BDI≥17)</t>
        </is>
      </c>
      <c r="B32" s="164" t="inlineStr">
        <is>
          <t>Hidden-state head</t>
        </is>
      </c>
      <c r="C32" s="163" t="inlineStr">
        <is>
          <t>Audio + Text</t>
        </is>
      </c>
      <c r="D32" s="163" t="inlineStr">
        <is>
          <t>Logistic Regression</t>
        </is>
      </c>
      <c r="E32" s="165" t="n">
        <v>0.6</v>
      </c>
      <c r="F32" s="165" t="n">
        <v>0.7241379999999999</v>
      </c>
      <c r="G32" s="165" t="n">
        <v>0.692308</v>
      </c>
      <c r="H32" s="165" t="n">
        <v>0.759036</v>
      </c>
      <c r="I32" s="165" t="n">
        <v>0.498433</v>
      </c>
      <c r="J32" s="165" t="n"/>
      <c r="K32" s="165" t="n">
        <v>0.4803</v>
      </c>
      <c r="L32" s="165" t="n"/>
      <c r="M32" s="167" t="inlineStr">
        <is>
          <t>[[9, 28], [20, 63]]</t>
        </is>
      </c>
    </row>
    <row r="33" ht="21" customHeight="1" s="119">
      <c r="A33" s="163" t="inlineStr">
        <is>
          <t>Turkish (BDI≥17)</t>
        </is>
      </c>
      <c r="B33" s="164" t="inlineStr">
        <is>
          <t>Hidden-state head</t>
        </is>
      </c>
      <c r="C33" s="163" t="inlineStr">
        <is>
          <t>Audio + Text</t>
        </is>
      </c>
      <c r="D33" s="163" t="inlineStr">
        <is>
          <t>XGBoost (fixed raw)</t>
        </is>
      </c>
      <c r="E33" s="165" t="n">
        <v>0.65</v>
      </c>
      <c r="F33" s="165" t="n">
        <v>0.783505</v>
      </c>
      <c r="G33" s="165" t="n">
        <v>0.684685</v>
      </c>
      <c r="H33" s="165" t="n">
        <v>0.915663</v>
      </c>
      <c r="I33" s="165" t="n">
        <v>0.435231</v>
      </c>
      <c r="J33" s="165" t="n"/>
      <c r="K33" s="165" t="n">
        <v>0.600456</v>
      </c>
      <c r="L33" s="165" t="n"/>
      <c r="M33" s="167" t="inlineStr">
        <is>
          <t>[[2, 35], [7, 76]]</t>
        </is>
      </c>
    </row>
    <row r="34" ht="21" customHeight="1" s="119">
      <c r="A34" s="163" t="inlineStr">
        <is>
          <t>Turkish (BDI≥17)</t>
        </is>
      </c>
      <c r="B34" s="164" t="inlineStr">
        <is>
          <t>Hidden-state head</t>
        </is>
      </c>
      <c r="C34" s="163" t="inlineStr">
        <is>
          <t>Audio + Text</t>
        </is>
      </c>
      <c r="D34" s="163" t="inlineStr">
        <is>
          <t>XGBoost Optuna (150t d6, seed1337)</t>
        </is>
      </c>
      <c r="E34" s="165" t="n">
        <v>0.616667</v>
      </c>
      <c r="F34" s="165" t="n">
        <v>0.7294119999999999</v>
      </c>
      <c r="G34" s="165" t="n">
        <v>0.7126440000000001</v>
      </c>
      <c r="H34" s="165" t="n">
        <v>0.746988</v>
      </c>
      <c r="I34" s="165" t="n">
        <v>0.536134</v>
      </c>
      <c r="J34" s="165" t="n"/>
      <c r="K34" s="165" t="n">
        <v>0.542494</v>
      </c>
      <c r="L34" s="165" t="n"/>
      <c r="M34" s="167" t="inlineStr">
        <is>
          <t>[[12, 25], [21, 62]]</t>
        </is>
      </c>
    </row>
    <row r="35" ht="15.75" customHeight="1" s="119">
      <c r="A35" s="163" t="inlineStr">
        <is>
          <t>Turkish (BDI≥17)</t>
        </is>
      </c>
      <c r="B35" s="164" t="inlineStr">
        <is>
          <t>Hidden-state head</t>
        </is>
      </c>
      <c r="C35" s="163" t="inlineStr">
        <is>
          <t>Audio only</t>
        </is>
      </c>
      <c r="D35" s="163" t="inlineStr">
        <is>
          <t>Logistic Regression</t>
        </is>
      </c>
      <c r="E35" s="165" t="n">
        <v>0.683333</v>
      </c>
      <c r="F35" s="165" t="n">
        <v>0.788889</v>
      </c>
      <c r="G35" s="165" t="n">
        <v>0.731959</v>
      </c>
      <c r="H35" s="165" t="n">
        <v>0.855422</v>
      </c>
      <c r="I35" s="165" t="n">
        <v>0.577778</v>
      </c>
      <c r="J35" s="165" t="n"/>
      <c r="K35" s="165" t="n">
        <v>0.613807</v>
      </c>
      <c r="L35" s="165" t="n"/>
      <c r="M35" s="167" t="inlineStr">
        <is>
          <t>[[11, 26], [12, 71]]</t>
        </is>
      </c>
    </row>
    <row r="36" ht="15.75" customHeight="1" s="119">
      <c r="A36" s="163" t="inlineStr">
        <is>
          <t>Turkish (BDI≥17)</t>
        </is>
      </c>
      <c r="B36" s="164" t="inlineStr">
        <is>
          <t>Hidden-state head</t>
        </is>
      </c>
      <c r="C36" s="163" t="inlineStr">
        <is>
          <t>Audio only</t>
        </is>
      </c>
      <c r="D36" s="163" t="inlineStr">
        <is>
          <t>XGBoost (fixed raw)</t>
        </is>
      </c>
      <c r="E36" s="165" t="n">
        <v>0.7166670000000001</v>
      </c>
      <c r="F36" s="165" t="n">
        <v>0.83</v>
      </c>
      <c r="G36" s="165" t="n">
        <v>0.709402</v>
      </c>
      <c r="H36" s="210" t="n">
        <v>1</v>
      </c>
      <c r="I36" s="165" t="n">
        <v>0.49</v>
      </c>
      <c r="J36" s="165" t="n"/>
      <c r="K36" s="165" t="n">
        <v>0.64181</v>
      </c>
      <c r="L36" s="165" t="n"/>
      <c r="M36" s="167" t="inlineStr">
        <is>
          <t>[[3, 34], [0, 83]]</t>
        </is>
      </c>
    </row>
    <row r="37" ht="15.75" customHeight="1" s="119">
      <c r="A37" s="163" t="inlineStr">
        <is>
          <t>Turkish (BDI≥17)</t>
        </is>
      </c>
      <c r="B37" s="164" t="inlineStr">
        <is>
          <t>Hidden-state head</t>
        </is>
      </c>
      <c r="C37" s="163" t="inlineStr">
        <is>
          <t>Audio only</t>
        </is>
      </c>
      <c r="D37" s="163" t="inlineStr">
        <is>
          <t>XGBoost Optuna (150t d8, seed1337)</t>
        </is>
      </c>
      <c r="E37" s="165" t="n">
        <v>0.683333</v>
      </c>
      <c r="F37" s="165" t="n">
        <v>0.793478</v>
      </c>
      <c r="G37" s="165" t="n">
        <v>0.722772</v>
      </c>
      <c r="H37" s="165" t="n">
        <v>0.879518</v>
      </c>
      <c r="I37" s="165" t="n">
        <v>0.557453</v>
      </c>
      <c r="J37" s="165" t="n"/>
      <c r="K37" s="165" t="n">
        <v>0.664604</v>
      </c>
      <c r="L37" s="165" t="n"/>
      <c r="M37" s="167" t="inlineStr">
        <is>
          <t>[[9, 28], [10, 73]]</t>
        </is>
      </c>
    </row>
    <row r="38" ht="15.75" customHeight="1" s="119">
      <c r="A38" s="163" t="inlineStr">
        <is>
          <t>Turkish (BDI≥17)</t>
        </is>
      </c>
      <c r="B38" s="164" t="inlineStr">
        <is>
          <t>Hidden-state head</t>
        </is>
      </c>
      <c r="C38" s="163" t="inlineStr">
        <is>
          <t>Text only</t>
        </is>
      </c>
      <c r="D38" s="163" t="inlineStr">
        <is>
          <t>Logistic Regression</t>
        </is>
      </c>
      <c r="E38" s="165" t="n">
        <v>0.583333</v>
      </c>
      <c r="F38" s="165" t="n">
        <v>0.666667</v>
      </c>
      <c r="G38" s="165" t="n">
        <v>0.746269</v>
      </c>
      <c r="H38" s="165" t="n">
        <v>0.60241</v>
      </c>
      <c r="I38" s="165" t="n">
        <v>0.555556</v>
      </c>
      <c r="J38" s="165" t="n"/>
      <c r="K38" s="165" t="n">
        <v>0.616412</v>
      </c>
      <c r="L38" s="165" t="n"/>
      <c r="M38" s="167" t="inlineStr">
        <is>
          <t>[[20, 17], [33, 50]]</t>
        </is>
      </c>
    </row>
    <row r="39" ht="15.75" customHeight="1" s="119">
      <c r="A39" s="163" t="inlineStr">
        <is>
          <t>Turkish (BDI≥17)</t>
        </is>
      </c>
      <c r="B39" s="164" t="inlineStr">
        <is>
          <t>Hidden-state head</t>
        </is>
      </c>
      <c r="C39" s="163" t="inlineStr">
        <is>
          <t>Text only</t>
        </is>
      </c>
      <c r="D39" s="163" t="inlineStr">
        <is>
          <t>XGBoost (fixed raw)</t>
        </is>
      </c>
      <c r="E39" s="165" t="n">
        <v>0.683333</v>
      </c>
      <c r="F39" s="165" t="n">
        <v>0.77381</v>
      </c>
      <c r="G39" s="165" t="n">
        <v>0.764706</v>
      </c>
      <c r="H39" s="165" t="n">
        <v>0.783133</v>
      </c>
      <c r="I39" s="210" t="n">
        <v>0.623016</v>
      </c>
      <c r="J39" s="165" t="n"/>
      <c r="K39" s="210" t="n">
        <v>0.677304</v>
      </c>
      <c r="L39" s="165" t="n"/>
      <c r="M39" s="167" t="inlineStr">
        <is>
          <t>[[17, 20], [18, 65]]</t>
        </is>
      </c>
    </row>
    <row r="40" ht="15.75" customHeight="1" s="119">
      <c r="A40" s="163" t="inlineStr">
        <is>
          <t>Turkish (BDI≥17)</t>
        </is>
      </c>
      <c r="B40" s="164" t="inlineStr">
        <is>
          <t>Hidden-state head</t>
        </is>
      </c>
      <c r="C40" s="163" t="inlineStr">
        <is>
          <t>Text only</t>
        </is>
      </c>
      <c r="D40" s="163" t="inlineStr">
        <is>
          <t>XGBoost Optuna (50t d6, seed1337)</t>
        </is>
      </c>
      <c r="E40" s="165" t="n">
        <v>0.641667</v>
      </c>
      <c r="F40" s="165" t="n">
        <v>0.726115</v>
      </c>
      <c r="G40" s="210" t="n">
        <v>0.77027</v>
      </c>
      <c r="H40" s="165" t="n">
        <v>0.686747</v>
      </c>
      <c r="I40" s="165" t="n">
        <v>0.604021</v>
      </c>
      <c r="J40" s="165" t="n"/>
      <c r="K40" s="165" t="n">
        <v>0.646695</v>
      </c>
      <c r="L40" s="165" t="n"/>
      <c r="M40" s="167" t="inlineStr">
        <is>
          <t>[[20, 17], [26, 57]]</t>
        </is>
      </c>
    </row>
    <row r="41" ht="21" customHeight="1" s="119">
      <c r="A41" s="163" t="inlineStr">
        <is>
          <t>D3TEC (Spanish)</t>
        </is>
      </c>
      <c r="B41" s="164" t="inlineStr">
        <is>
          <t>Our LLM</t>
        </is>
      </c>
      <c r="C41" s="163" t="inlineStr">
        <is>
          <t>Audio + Text</t>
        </is>
      </c>
      <c r="D41" s="163" t="inlineStr">
        <is>
          <t>Fine-tuned multimodal LLM (response-normalized)</t>
        </is>
      </c>
      <c r="E41" s="210" t="n">
        <v>0.6129032258064516</v>
      </c>
      <c r="F41" s="165" t="n">
        <v>0.4285714285714286</v>
      </c>
      <c r="G41" s="210" t="n">
        <v>0.6923076923076923</v>
      </c>
      <c r="H41" s="165" t="n">
        <v>0.3103448275862069</v>
      </c>
      <c r="I41" s="165" t="n">
        <v>0.5679442508710801</v>
      </c>
      <c r="J41" s="210" t="n">
        <v>0.7073170731707317</v>
      </c>
      <c r="K41" s="165" t="n">
        <v>0.5736677115987461</v>
      </c>
      <c r="L41" s="166" t="n">
        <v>0.6373626373626373</v>
      </c>
      <c r="M41" s="167" t="inlineStr">
        <is>
          <t>[[29, 4], [20, 9]]</t>
        </is>
      </c>
    </row>
    <row r="42" ht="21" customHeight="1" s="119">
      <c r="A42" s="163" t="inlineStr">
        <is>
          <t>D3TEC (Spanish)</t>
        </is>
      </c>
      <c r="B42" s="164" t="inlineStr">
        <is>
          <t>Our LLM</t>
        </is>
      </c>
      <c r="C42" s="163" t="inlineStr">
        <is>
          <t>Audio only</t>
        </is>
      </c>
      <c r="D42" s="163" t="inlineStr">
        <is>
          <t>Fine-tuned audio LLM (response-normalized)</t>
        </is>
      </c>
      <c r="E42" s="165" t="n">
        <v>0.5806451612903226</v>
      </c>
      <c r="F42" s="166" t="n">
        <v>0.4999999999999999</v>
      </c>
      <c r="G42" s="165" t="n">
        <v>0.5652173913043478</v>
      </c>
      <c r="H42" s="166" t="n">
        <v>0.4482758620689655</v>
      </c>
      <c r="I42" s="166" t="n">
        <v>0.5694444444444444</v>
      </c>
      <c r="J42" s="165" t="n">
        <v>0.6388888888888888</v>
      </c>
      <c r="K42" s="165" t="n">
        <v>0.5757575757575758</v>
      </c>
      <c r="L42" s="166" t="n">
        <v>0.6373626373626373</v>
      </c>
      <c r="M42" s="167" t="inlineStr">
        <is>
          <t>[[23, 10], [16, 13]]</t>
        </is>
      </c>
    </row>
    <row r="43" ht="21" customHeight="1" s="119">
      <c r="A43" s="163" t="inlineStr">
        <is>
          <t>D3TEC (Spanish)</t>
        </is>
      </c>
      <c r="B43" s="164" t="inlineStr">
        <is>
          <t>Our LLM</t>
        </is>
      </c>
      <c r="C43" s="163" t="inlineStr">
        <is>
          <t>Text only</t>
        </is>
      </c>
      <c r="D43" s="163" t="inlineStr">
        <is>
          <t>Fine-tuned text LLM</t>
        </is>
      </c>
      <c r="E43" s="165" t="n">
        <v>0.5161290322580645</v>
      </c>
      <c r="F43" s="165" t="n">
        <v>0.4230769230769231</v>
      </c>
      <c r="G43" s="165" t="n">
        <v>0.4782608695652174</v>
      </c>
      <c r="H43" s="165" t="n">
        <v>0.3793103448275862</v>
      </c>
      <c r="I43" s="165" t="n">
        <v>0.5032051282051282</v>
      </c>
      <c r="J43" s="165" t="n">
        <v>0.5833333333333333</v>
      </c>
      <c r="K43" s="210" t="n">
        <v>0.6185997910135841</v>
      </c>
      <c r="L43" s="166" t="n">
        <v>0.6373626373626373</v>
      </c>
      <c r="M43" s="167" t="inlineStr">
        <is>
          <t>[[21, 12], [18, 11]]</t>
        </is>
      </c>
    </row>
    <row r="44" ht="21" customHeight="1" s="119">
      <c r="A44" s="163" t="inlineStr">
        <is>
          <t>D3TEC (Spanish)</t>
        </is>
      </c>
      <c r="B44" s="164" t="inlineStr">
        <is>
          <t>Hidden-state head</t>
        </is>
      </c>
      <c r="C44" s="163" t="inlineStr">
        <is>
          <t>Audio + Text</t>
        </is>
      </c>
      <c r="D44" s="163" t="inlineStr">
        <is>
          <t>Logistic Regression</t>
        </is>
      </c>
      <c r="E44" s="165" t="n">
        <v>0.5806451612903226</v>
      </c>
      <c r="F44" s="165" t="n">
        <v>0.48</v>
      </c>
      <c r="G44" s="165" t="n">
        <v>0.5714285714285714</v>
      </c>
      <c r="H44" s="165" t="n">
        <v>0.4137931034482759</v>
      </c>
      <c r="I44" s="165" t="n">
        <v>0.5643243243243243</v>
      </c>
      <c r="J44" s="165" t="n">
        <v>0.6486486486486487</v>
      </c>
      <c r="K44" s="165" t="n">
        <v>0.5632183908045977</v>
      </c>
      <c r="L44" s="165" t="n">
        <v>0.6373626373626373</v>
      </c>
      <c r="M44" s="167" t="inlineStr">
        <is>
          <t>[[24, 9], [17, 12]]</t>
        </is>
      </c>
    </row>
    <row r="45" ht="21" customHeight="1" s="119">
      <c r="A45" s="163" t="inlineStr">
        <is>
          <t>D3TEC (Spanish)</t>
        </is>
      </c>
      <c r="B45" s="164" t="inlineStr">
        <is>
          <t>Hidden-state head</t>
        </is>
      </c>
      <c r="C45" s="163" t="inlineStr">
        <is>
          <t>Audio + Text</t>
        </is>
      </c>
      <c r="D45" s="163" t="inlineStr">
        <is>
          <t>XGBoost (fixed raw)</t>
        </is>
      </c>
      <c r="E45" s="165" t="n">
        <v>0.532258064516129</v>
      </c>
      <c r="F45" s="165" t="n">
        <v>0.4081632653061225</v>
      </c>
      <c r="G45" s="165" t="n">
        <v>0.5</v>
      </c>
      <c r="H45" s="165" t="n">
        <v>0.3448275862068966</v>
      </c>
      <c r="I45" s="165" t="n">
        <v>0.5107482993197279</v>
      </c>
      <c r="J45" s="165" t="n">
        <v>0.6133333333333334</v>
      </c>
      <c r="K45" s="165" t="n">
        <v>0.5579937304075235</v>
      </c>
      <c r="L45" s="165" t="n">
        <v>0.6373626373626373</v>
      </c>
      <c r="M45" s="167" t="inlineStr">
        <is>
          <t>[[23, 10], [19, 10]]</t>
        </is>
      </c>
    </row>
    <row r="46" ht="21" customHeight="1" s="119">
      <c r="A46" s="163" t="inlineStr">
        <is>
          <t>D3TEC (Spanish)</t>
        </is>
      </c>
      <c r="B46" s="164" t="inlineStr">
        <is>
          <t>Hidden-state head</t>
        </is>
      </c>
      <c r="C46" s="163" t="inlineStr">
        <is>
          <t>Audio + Text</t>
        </is>
      </c>
      <c r="D46" s="163" t="inlineStr">
        <is>
          <t>XGBoost Optuna (150t d6, seed1337)</t>
        </is>
      </c>
      <c r="E46" s="165" t="n">
        <v>0.5645161290322581</v>
      </c>
      <c r="F46" s="165" t="n">
        <v>0.4705882352941176</v>
      </c>
      <c r="G46" s="165" t="n">
        <v>0.5454545454545454</v>
      </c>
      <c r="H46" s="165" t="n">
        <v>0.4137931034482759</v>
      </c>
      <c r="I46" s="165" t="n">
        <v>0.5503626107977437</v>
      </c>
      <c r="J46" s="165" t="n">
        <v>0.6301369863013698</v>
      </c>
      <c r="K46" s="165" t="n">
        <v>0.5559038662486938</v>
      </c>
      <c r="L46" s="165" t="n">
        <v>0.6373626373626373</v>
      </c>
      <c r="M46" s="167" t="inlineStr">
        <is>
          <t>[[23, 10], [17, 12]]</t>
        </is>
      </c>
    </row>
    <row r="47" ht="21" customHeight="1" s="119">
      <c r="A47" s="163" t="inlineStr">
        <is>
          <t>D3TEC (Spanish)</t>
        </is>
      </c>
      <c r="B47" s="164" t="inlineStr">
        <is>
          <t>Hidden-state head</t>
        </is>
      </c>
      <c r="C47" s="163" t="inlineStr">
        <is>
          <t>Audio only</t>
        </is>
      </c>
      <c r="D47" s="163" t="inlineStr">
        <is>
          <t>Logistic Regression</t>
        </is>
      </c>
      <c r="E47" s="165" t="n">
        <v>0.5645161290322581</v>
      </c>
      <c r="F47" s="165" t="n">
        <v>0.509090909090909</v>
      </c>
      <c r="G47" s="165" t="n">
        <v>0.5384615384615384</v>
      </c>
      <c r="H47" s="165" t="n">
        <v>0.4827586206896552</v>
      </c>
      <c r="I47" s="165" t="n">
        <v>0.5588932806324111</v>
      </c>
      <c r="J47" s="165" t="n">
        <v>0.6086956521739131</v>
      </c>
      <c r="K47" s="165" t="n">
        <v>0.5841170323928945</v>
      </c>
      <c r="L47" s="165" t="n">
        <v>0.6373626373626373</v>
      </c>
      <c r="M47" s="167" t="inlineStr">
        <is>
          <t>[[21, 12], [15, 14]]</t>
        </is>
      </c>
    </row>
    <row r="48" ht="21" customHeight="1" s="119">
      <c r="A48" s="163" t="inlineStr">
        <is>
          <t>D3TEC (Spanish)</t>
        </is>
      </c>
      <c r="B48" s="164" t="inlineStr">
        <is>
          <t>Hidden-state head</t>
        </is>
      </c>
      <c r="C48" s="163" t="inlineStr">
        <is>
          <t>Audio only</t>
        </is>
      </c>
      <c r="D48" s="163" t="inlineStr">
        <is>
          <t>XGBoost (fixed raw)</t>
        </is>
      </c>
      <c r="E48" s="165" t="n">
        <v>0.5483870967741935</v>
      </c>
      <c r="F48" s="165" t="n">
        <v>0.5</v>
      </c>
      <c r="G48" s="165" t="n">
        <v>0.5185185185185185</v>
      </c>
      <c r="H48" s="165" t="n">
        <v>0.4827586206896552</v>
      </c>
      <c r="I48" s="165" t="n">
        <v>0.5441176470588235</v>
      </c>
      <c r="J48" s="165" t="n">
        <v>0.588235294117647</v>
      </c>
      <c r="K48" s="165" t="n">
        <v>0.5851619644723093</v>
      </c>
      <c r="L48" s="165" t="n">
        <v>0.6373626373626373</v>
      </c>
      <c r="M48" s="167" t="inlineStr">
        <is>
          <t>[[20, 13], [15, 14]]</t>
        </is>
      </c>
    </row>
    <row r="49" ht="21" customHeight="1" s="119">
      <c r="A49" s="163" t="inlineStr">
        <is>
          <t>D3TEC (Spanish)</t>
        </is>
      </c>
      <c r="B49" s="164" t="inlineStr">
        <is>
          <t>Hidden-state head</t>
        </is>
      </c>
      <c r="C49" s="163" t="inlineStr">
        <is>
          <t>Audio only</t>
        </is>
      </c>
      <c r="D49" s="163" t="inlineStr">
        <is>
          <t>XGBoost Optuna (150t d6, seed1337)</t>
        </is>
      </c>
      <c r="E49" s="165" t="n">
        <v>0.5806451612903226</v>
      </c>
      <c r="F49" s="165" t="n">
        <v>0.4999999999999999</v>
      </c>
      <c r="G49" s="165" t="n">
        <v>0.5652173913043478</v>
      </c>
      <c r="H49" s="165" t="n">
        <v>0.4482758620689655</v>
      </c>
      <c r="I49" s="165" t="n">
        <v>0.5694444444444444</v>
      </c>
      <c r="J49" s="165" t="n">
        <v>0.638888888888889</v>
      </c>
      <c r="K49" s="165" t="n">
        <v>0.593521421107628</v>
      </c>
      <c r="L49" s="165" t="n">
        <v>0.6373626373626373</v>
      </c>
      <c r="M49" s="167" t="inlineStr">
        <is>
          <t>[[23, 10], [16, 13]]</t>
        </is>
      </c>
    </row>
    <row r="50" ht="21" customHeight="1" s="119">
      <c r="A50" s="163" t="inlineStr">
        <is>
          <t>D3TEC (Spanish)</t>
        </is>
      </c>
      <c r="B50" s="164" t="inlineStr">
        <is>
          <t>Hidden-state head</t>
        </is>
      </c>
      <c r="C50" s="163" t="inlineStr">
        <is>
          <t>Text only</t>
        </is>
      </c>
      <c r="D50" s="163" t="inlineStr">
        <is>
          <t>Logistic Regression</t>
        </is>
      </c>
      <c r="E50" s="165" t="n">
        <v>0.5806451612903226</v>
      </c>
      <c r="F50" s="210" t="n">
        <v>0.5666666666666665</v>
      </c>
      <c r="G50" s="165" t="n">
        <v>0.5483870967741935</v>
      </c>
      <c r="H50" s="210" t="n">
        <v>0.5862068965517241</v>
      </c>
      <c r="I50" s="210" t="n">
        <v>0.5802083333333332</v>
      </c>
      <c r="J50" s="165" t="n">
        <v>0.59375</v>
      </c>
      <c r="K50" s="165" t="n">
        <v>0.6091954022988506</v>
      </c>
      <c r="L50" s="165" t="n">
        <v>0.6373626373626373</v>
      </c>
      <c r="M50" s="167" t="inlineStr">
        <is>
          <t>[[19, 14], [12, 17]]</t>
        </is>
      </c>
    </row>
    <row r="51" ht="21" customHeight="1" s="119">
      <c r="A51" s="163" t="inlineStr">
        <is>
          <t>D3TEC (Spanish)</t>
        </is>
      </c>
      <c r="B51" s="164" t="inlineStr">
        <is>
          <t>Hidden-state head</t>
        </is>
      </c>
      <c r="C51" s="163" t="inlineStr">
        <is>
          <t>Text only</t>
        </is>
      </c>
      <c r="D51" s="163" t="inlineStr">
        <is>
          <t>XGBoost (fixed raw)</t>
        </is>
      </c>
      <c r="E51" s="165" t="n">
        <v>0.4838709677419355</v>
      </c>
      <c r="F51" s="165" t="n">
        <v>0.4482758620689655</v>
      </c>
      <c r="G51" s="165" t="n">
        <v>0.4482758620689655</v>
      </c>
      <c r="H51" s="165" t="n">
        <v>0.4482758620689655</v>
      </c>
      <c r="I51" s="165" t="n">
        <v>0.4817136886102403</v>
      </c>
      <c r="J51" s="165" t="n">
        <v>0.5151515151515151</v>
      </c>
      <c r="K51" s="165" t="n">
        <v>0.5616509926854755</v>
      </c>
      <c r="L51" s="165" t="n">
        <v>0.6373626373626373</v>
      </c>
      <c r="M51" s="167" t="inlineStr">
        <is>
          <t>[[17, 16], [16, 13]]</t>
        </is>
      </c>
    </row>
    <row r="52" ht="21" customHeight="1" s="119">
      <c r="A52" s="163" t="inlineStr">
        <is>
          <t>D3TEC (Spanish)</t>
        </is>
      </c>
      <c r="B52" s="164" t="inlineStr">
        <is>
          <t>Hidden-state head</t>
        </is>
      </c>
      <c r="C52" s="163" t="inlineStr">
        <is>
          <t>Text only</t>
        </is>
      </c>
      <c r="D52" s="163" t="inlineStr">
        <is>
          <t>XGBoost Optuna (150t d6, seed1337)</t>
        </is>
      </c>
      <c r="E52" s="165" t="n">
        <v>0.532258064516129</v>
      </c>
      <c r="F52" s="165" t="n">
        <v>0.4727272727272727</v>
      </c>
      <c r="G52" s="165" t="n">
        <v>0.5</v>
      </c>
      <c r="H52" s="165" t="n">
        <v>0.4482758620689655</v>
      </c>
      <c r="I52" s="165" t="n">
        <v>0.5262187088274044</v>
      </c>
      <c r="J52" s="165" t="n">
        <v>0.5797101449275361</v>
      </c>
      <c r="K52" s="165" t="n">
        <v>0.5741901776384535</v>
      </c>
      <c r="L52" s="165" t="n">
        <v>0.6373626373626373</v>
      </c>
      <c r="M52" s="167" t="inlineStr">
        <is>
          <t>[[20, 13], [16, 13]]</t>
        </is>
      </c>
    </row>
    <row r="53" ht="15.75" customHeight="1" s="119">
      <c r="A53" s="163" t="inlineStr">
        <is>
          <t>Androids Interview</t>
        </is>
      </c>
      <c r="B53" s="164" t="inlineStr">
        <is>
          <t>Our LLM</t>
        </is>
      </c>
      <c r="C53" s="163" t="inlineStr">
        <is>
          <t>Audio only</t>
        </is>
      </c>
      <c r="D53" s="163" t="inlineStr">
        <is>
          <t>Fine-tuned audio LLM</t>
        </is>
      </c>
      <c r="E53" s="165" t="n">
        <v>0.896551724137931</v>
      </c>
      <c r="F53" s="165" t="n">
        <v>0.9076923076923077</v>
      </c>
      <c r="G53" s="165" t="n">
        <v>0.8939393939393939</v>
      </c>
      <c r="H53" s="165" t="n">
        <v>0.921875</v>
      </c>
      <c r="I53" s="165" t="n">
        <v>0.8950226244343892</v>
      </c>
      <c r="J53" s="165" t="n">
        <v>0.8823529411764706</v>
      </c>
      <c r="K53" s="165" t="n">
        <v>0.9462139423076923</v>
      </c>
      <c r="L53" s="165" t="n">
        <v>0.5517241379310345</v>
      </c>
      <c r="M53" s="167" t="inlineStr">
        <is>
          <t>[[45, 7], [5, 59]]</t>
        </is>
      </c>
    </row>
    <row r="54" ht="15.75" customHeight="1" s="119">
      <c r="A54" s="163" t="inlineStr">
        <is>
          <t>Androids Interview</t>
        </is>
      </c>
      <c r="B54" s="164" t="inlineStr">
        <is>
          <t>Our LLM</t>
        </is>
      </c>
      <c r="C54" s="163" t="inlineStr">
        <is>
          <t>Audio + Text</t>
        </is>
      </c>
      <c r="D54" s="163" t="inlineStr">
        <is>
          <t>Fine-tuned multimodal LLM</t>
        </is>
      </c>
      <c r="E54" s="165" t="n">
        <v>0.8448275862068966</v>
      </c>
      <c r="F54" s="165" t="n">
        <v>0.8571428571428571</v>
      </c>
      <c r="G54" s="165" t="n">
        <v>0.8709677419354839</v>
      </c>
      <c r="H54" s="165" t="n">
        <v>0.84375</v>
      </c>
      <c r="I54" s="165" t="n">
        <v>0.84366576819407</v>
      </c>
      <c r="J54" s="165" t="n">
        <v>0.8301886792452831</v>
      </c>
      <c r="K54" s="165" t="n">
        <v>0.9140625</v>
      </c>
      <c r="L54" s="165" t="n">
        <v>0.5517241379310345</v>
      </c>
      <c r="M54" s="167" t="inlineStr">
        <is>
          <t>[[44, 8], [10, 54]]</t>
        </is>
      </c>
    </row>
    <row r="55" ht="15.75" customHeight="1" s="119">
      <c r="A55" s="163" t="inlineStr">
        <is>
          <t>Androids Interview</t>
        </is>
      </c>
      <c r="B55" s="164" t="inlineStr">
        <is>
          <t>Our LLM</t>
        </is>
      </c>
      <c r="C55" s="163" t="inlineStr">
        <is>
          <t>Text only</t>
        </is>
      </c>
      <c r="D55" s="163" t="inlineStr">
        <is>
          <t>Fine-tuned text LLM</t>
        </is>
      </c>
      <c r="E55" s="165" t="n">
        <v>0.8706896551724138</v>
      </c>
      <c r="F55" s="165" t="n">
        <v>0.8818897637795274</v>
      </c>
      <c r="G55" s="165" t="n">
        <v>0.8888888888888888</v>
      </c>
      <c r="H55" s="165" t="n">
        <v>0.875</v>
      </c>
      <c r="I55" s="165" t="n">
        <v>0.8695163104611923</v>
      </c>
      <c r="J55" s="165" t="n">
        <v>0.8571428571428571</v>
      </c>
      <c r="K55" s="165" t="n">
        <v>0.9459134615384616</v>
      </c>
      <c r="L55" s="165" t="n">
        <v>0.5517241379310345</v>
      </c>
      <c r="M55" s="167" t="inlineStr">
        <is>
          <t>[[45, 7], [8, 56]]</t>
        </is>
      </c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  <c r="K56" s="41" t="n"/>
      <c r="L56" s="41" t="n"/>
      <c r="M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  <c r="K57" s="41" t="n"/>
      <c r="L57" s="41" t="n"/>
      <c r="M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  <c r="K59" s="41" t="n"/>
      <c r="L59" s="41" t="n"/>
      <c r="M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  <c r="K60" s="41" t="n"/>
      <c r="L60" s="41" t="n"/>
      <c r="M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  <c r="K61" s="41" t="n"/>
      <c r="L61" s="41" t="n"/>
      <c r="M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  <c r="K62" s="41" t="n"/>
      <c r="L62" s="41" t="n"/>
      <c r="M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  <c r="K63" s="41" t="n"/>
      <c r="L63" s="41" t="n"/>
      <c r="M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  <c r="K64" s="41" t="n"/>
      <c r="L64" s="41" t="n"/>
      <c r="M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  <c r="K65" s="41" t="n"/>
      <c r="L65" s="41" t="n"/>
      <c r="M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  <c r="K66" s="41" t="n"/>
      <c r="L66" s="41" t="n"/>
      <c r="M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  <c r="K67" s="41" t="n"/>
      <c r="L67" s="41" t="n"/>
      <c r="M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  <c r="K68" s="41" t="n"/>
      <c r="L68" s="41" t="n"/>
      <c r="M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  <c r="K69" s="41" t="n"/>
      <c r="L69" s="41" t="n"/>
      <c r="M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  <c r="K70" s="41" t="n"/>
      <c r="L70" s="41" t="n"/>
      <c r="M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  <c r="K71" s="41" t="n"/>
      <c r="L71" s="41" t="n"/>
      <c r="M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  <c r="K72" s="41" t="n"/>
      <c r="L72" s="41" t="n"/>
      <c r="M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  <c r="K73" s="41" t="n"/>
      <c r="L73" s="41" t="n"/>
      <c r="M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  <c r="K74" s="41" t="n"/>
      <c r="L74" s="41" t="n"/>
      <c r="M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  <c r="K76" s="41" t="n"/>
      <c r="L76" s="41" t="n"/>
      <c r="M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  <c r="K77" s="41" t="n"/>
      <c r="L77" s="41" t="n"/>
      <c r="M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  <c r="K78" s="41" t="n"/>
      <c r="L78" s="41" t="n"/>
      <c r="M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  <c r="K79" s="41" t="n"/>
      <c r="L79" s="41" t="n"/>
      <c r="M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  <c r="K80" s="41" t="n"/>
      <c r="L80" s="41" t="n"/>
      <c r="M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  <c r="K81" s="41" t="n"/>
      <c r="L81" s="41" t="n"/>
      <c r="M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  <c r="K82" s="41" t="n"/>
      <c r="L82" s="41" t="n"/>
      <c r="M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  <c r="K83" s="41" t="n"/>
      <c r="L83" s="41" t="n"/>
      <c r="M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  <c r="K84" s="41" t="n"/>
      <c r="L84" s="41" t="n"/>
      <c r="M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  <c r="K85" s="41" t="n"/>
      <c r="L85" s="41" t="n"/>
      <c r="M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  <c r="K86" s="41" t="n"/>
      <c r="L86" s="41" t="n"/>
      <c r="M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  <c r="K87" s="41" t="n"/>
      <c r="L87" s="41" t="n"/>
      <c r="M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  <c r="K88" s="41" t="n"/>
      <c r="L88" s="41" t="n"/>
      <c r="M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  <c r="K89" s="41" t="n"/>
      <c r="L89" s="41" t="n"/>
      <c r="M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  <c r="K91" s="41" t="n"/>
      <c r="L91" s="41" t="n"/>
      <c r="M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  <c r="K92" s="41" t="n"/>
      <c r="L92" s="41" t="n"/>
      <c r="M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  <c r="K93" s="41" t="n"/>
      <c r="L93" s="41" t="n"/>
      <c r="M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  <c r="K94" s="41" t="n"/>
      <c r="L94" s="41" t="n"/>
      <c r="M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  <c r="K95" s="41" t="n"/>
      <c r="L95" s="41" t="n"/>
      <c r="M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  <c r="K96" s="41" t="n"/>
      <c r="L96" s="41" t="n"/>
      <c r="M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  <c r="K97" s="41" t="n"/>
      <c r="L97" s="41" t="n"/>
      <c r="M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  <c r="K98" s="41" t="n"/>
      <c r="L98" s="41" t="n"/>
      <c r="M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  <c r="K99" s="41" t="n"/>
      <c r="L99" s="41" t="n"/>
      <c r="M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  <c r="K100" s="41" t="n"/>
      <c r="L100" s="41" t="n"/>
      <c r="M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  <c r="K101" s="41" t="n"/>
      <c r="L101" s="41" t="n"/>
      <c r="M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  <c r="K102" s="41" t="n"/>
      <c r="L102" s="41" t="n"/>
      <c r="M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  <c r="K103" s="41" t="n"/>
      <c r="L103" s="41" t="n"/>
      <c r="M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  <c r="K104" s="41" t="n"/>
      <c r="L104" s="41" t="n"/>
      <c r="M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  <c r="K106" s="41" t="n"/>
      <c r="L106" s="41" t="n"/>
      <c r="M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  <c r="K107" s="41" t="n"/>
      <c r="L107" s="41" t="n"/>
      <c r="M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  <c r="K108" s="41" t="n"/>
      <c r="L108" s="41" t="n"/>
      <c r="M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  <c r="K109" s="41" t="n"/>
      <c r="L109" s="41" t="n"/>
      <c r="M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  <c r="K110" s="41" t="n"/>
      <c r="L110" s="41" t="n"/>
      <c r="M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  <c r="K112" s="41" t="n"/>
      <c r="L112" s="41" t="n"/>
      <c r="M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  <c r="K113" s="41" t="n"/>
      <c r="L113" s="41" t="n"/>
      <c r="M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  <c r="K114" s="41" t="n"/>
      <c r="L114" s="41" t="n"/>
      <c r="M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  <c r="K115" s="41" t="n"/>
      <c r="L115" s="41" t="n"/>
      <c r="M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  <c r="K116" s="41" t="n"/>
      <c r="L116" s="41" t="n"/>
      <c r="M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  <c r="K117" s="41" t="n"/>
      <c r="L117" s="41" t="n"/>
      <c r="M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  <c r="K118" s="41" t="n"/>
      <c r="L118" s="41" t="n"/>
      <c r="M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  <c r="K119" s="41" t="n"/>
      <c r="L119" s="41" t="n"/>
      <c r="M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  <c r="K121" s="41" t="n"/>
      <c r="L121" s="41" t="n"/>
      <c r="M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  <c r="K122" s="41" t="n"/>
      <c r="L122" s="41" t="n"/>
      <c r="M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  <c r="K123" s="41" t="n"/>
      <c r="L123" s="41" t="n"/>
      <c r="M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  <c r="K124" s="41" t="n"/>
      <c r="L124" s="41" t="n"/>
      <c r="M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  <c r="K125" s="41" t="n"/>
      <c r="L125" s="41" t="n"/>
      <c r="M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  <c r="K126" s="41" t="n"/>
      <c r="L126" s="41" t="n"/>
      <c r="M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  <c r="K127" s="41" t="n"/>
      <c r="L127" s="41" t="n"/>
      <c r="M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  <c r="K128" s="41" t="n"/>
      <c r="L128" s="41" t="n"/>
      <c r="M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  <c r="K129" s="41" t="n"/>
      <c r="L129" s="41" t="n"/>
      <c r="M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  <c r="K130" s="41" t="n"/>
      <c r="L130" s="41" t="n"/>
      <c r="M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  <c r="K131" s="41" t="n"/>
      <c r="L131" s="41" t="n"/>
      <c r="M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  <c r="K132" s="41" t="n"/>
      <c r="L132" s="41" t="n"/>
      <c r="M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  <c r="K133" s="41" t="n"/>
      <c r="L133" s="41" t="n"/>
      <c r="M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  <c r="K134" s="41" t="n"/>
      <c r="L134" s="41" t="n"/>
      <c r="M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  <c r="K136" s="41" t="n"/>
      <c r="L136" s="41" t="n"/>
      <c r="M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  <c r="K137" s="41" t="n"/>
      <c r="L137" s="41" t="n"/>
      <c r="M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  <c r="K138" s="41" t="n"/>
      <c r="L138" s="41" t="n"/>
      <c r="M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  <c r="K139" s="41" t="n"/>
      <c r="L139" s="41" t="n"/>
      <c r="M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  <c r="K140" s="41" t="n"/>
      <c r="L140" s="41" t="n"/>
      <c r="M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  <c r="K141" s="41" t="n"/>
      <c r="L141" s="41" t="n"/>
      <c r="M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  <c r="K142" s="41" t="n"/>
      <c r="L142" s="41" t="n"/>
      <c r="M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  <c r="K143" s="41" t="n"/>
      <c r="L143" s="41" t="n"/>
      <c r="M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  <c r="K144" s="41" t="n"/>
      <c r="L144" s="41" t="n"/>
      <c r="M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  <c r="K145" s="41" t="n"/>
      <c r="L145" s="41" t="n"/>
      <c r="M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  <c r="K146" s="41" t="n"/>
      <c r="L146" s="41" t="n"/>
      <c r="M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  <c r="K147" s="41" t="n"/>
      <c r="L147" s="41" t="n"/>
      <c r="M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  <c r="K148" s="41" t="n"/>
      <c r="L148" s="41" t="n"/>
      <c r="M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  <c r="K149" s="41" t="n"/>
      <c r="L149" s="41" t="n"/>
      <c r="M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  <c r="K151" s="41" t="n"/>
      <c r="L151" s="41" t="n"/>
      <c r="M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  <c r="K152" s="41" t="n"/>
      <c r="L152" s="41" t="n"/>
      <c r="M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  <c r="K153" s="41" t="n"/>
      <c r="L153" s="41" t="n"/>
      <c r="M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  <c r="K154" s="41" t="n"/>
      <c r="L154" s="41" t="n"/>
      <c r="M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  <c r="K155" s="41" t="n"/>
      <c r="L155" s="41" t="n"/>
      <c r="M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  <c r="K156" s="41" t="n"/>
      <c r="L156" s="41" t="n"/>
      <c r="M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  <c r="K157" s="41" t="n"/>
      <c r="L157" s="41" t="n"/>
      <c r="M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  <c r="K158" s="41" t="n"/>
      <c r="L158" s="41" t="n"/>
      <c r="M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  <c r="K159" s="41" t="n"/>
      <c r="L159" s="41" t="n"/>
      <c r="M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  <c r="K160" s="41" t="n"/>
      <c r="L160" s="41" t="n"/>
      <c r="M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  <c r="K161" s="41" t="n"/>
      <c r="L161" s="41" t="n"/>
      <c r="M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  <c r="K162" s="41" t="n"/>
      <c r="L162" s="41" t="n"/>
      <c r="M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  <c r="K163" s="41" t="n"/>
      <c r="L163" s="41" t="n"/>
      <c r="M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  <c r="K164" s="41" t="n"/>
      <c r="L164" s="41" t="n"/>
      <c r="M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  <c r="K166" s="41" t="n"/>
      <c r="L166" s="41" t="n"/>
      <c r="M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  <c r="K167" s="41" t="n"/>
      <c r="L167" s="41" t="n"/>
      <c r="M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  <c r="K168" s="41" t="n"/>
      <c r="L168" s="41" t="n"/>
      <c r="M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  <c r="K169" s="41" t="n"/>
      <c r="L169" s="41" t="n"/>
      <c r="M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  <c r="K170" s="41" t="n"/>
      <c r="L170" s="41" t="n"/>
      <c r="M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  <c r="K171" s="41" t="n"/>
      <c r="L171" s="41" t="n"/>
      <c r="M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  <c r="K172" s="41" t="n"/>
      <c r="L172" s="41" t="n"/>
      <c r="M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  <c r="K173" s="41" t="n"/>
      <c r="L173" s="41" t="n"/>
      <c r="M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  <c r="K174" s="41" t="n"/>
      <c r="L174" s="41" t="n"/>
      <c r="M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  <c r="K175" s="41" t="n"/>
      <c r="L175" s="41" t="n"/>
      <c r="M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  <c r="K176" s="41" t="n"/>
      <c r="L176" s="41" t="n"/>
      <c r="M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  <c r="K177" s="41" t="n"/>
      <c r="L177" s="41" t="n"/>
      <c r="M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  <c r="K178" s="41" t="n"/>
      <c r="L178" s="41" t="n"/>
      <c r="M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  <c r="K179" s="41" t="n"/>
      <c r="L179" s="41" t="n"/>
      <c r="M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  <c r="K181" s="41" t="n"/>
      <c r="L181" s="41" t="n"/>
      <c r="M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  <c r="K182" s="41" t="n"/>
      <c r="L182" s="41" t="n"/>
      <c r="M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  <c r="K183" s="41" t="n"/>
      <c r="L183" s="41" t="n"/>
      <c r="M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  <c r="K184" s="41" t="n"/>
      <c r="L184" s="41" t="n"/>
      <c r="M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  <c r="K185" s="41" t="n"/>
      <c r="L185" s="41" t="n"/>
      <c r="M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  <c r="K186" s="41" t="n"/>
      <c r="L186" s="41" t="n"/>
      <c r="M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  <c r="K187" s="41" t="n"/>
      <c r="L187" s="41" t="n"/>
      <c r="M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  <c r="K188" s="41" t="n"/>
      <c r="L188" s="41" t="n"/>
      <c r="M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  <c r="K189" s="41" t="n"/>
      <c r="L189" s="41" t="n"/>
      <c r="M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  <c r="K190" s="41" t="n"/>
      <c r="L190" s="41" t="n"/>
      <c r="M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  <c r="K191" s="41" t="n"/>
      <c r="L191" s="41" t="n"/>
      <c r="M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  <c r="K192" s="41" t="n"/>
      <c r="L192" s="41" t="n"/>
      <c r="M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  <c r="K193" s="41" t="n"/>
      <c r="L193" s="41" t="n"/>
      <c r="M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  <c r="K194" s="41" t="n"/>
      <c r="L194" s="41" t="n"/>
      <c r="M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  <c r="K196" s="41" t="n"/>
      <c r="L196" s="41" t="n"/>
      <c r="M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  <c r="K197" s="41" t="n"/>
      <c r="L197" s="41" t="n"/>
      <c r="M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  <c r="K198" s="41" t="n"/>
      <c r="L198" s="41" t="n"/>
      <c r="M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  <c r="K199" s="41" t="n"/>
      <c r="L199" s="41" t="n"/>
      <c r="M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  <c r="K200" s="41" t="n"/>
      <c r="L200" s="41" t="n"/>
      <c r="M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  <c r="K201" s="41" t="n"/>
      <c r="L201" s="41" t="n"/>
      <c r="M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  <c r="K202" s="41" t="n"/>
      <c r="L202" s="41" t="n"/>
      <c r="M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  <c r="K203" s="41" t="n"/>
      <c r="L203" s="41" t="n"/>
      <c r="M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  <c r="K204" s="41" t="n"/>
      <c r="L204" s="41" t="n"/>
      <c r="M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  <c r="K205" s="41" t="n"/>
      <c r="L205" s="41" t="n"/>
      <c r="M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  <c r="K206" s="41" t="n"/>
      <c r="L206" s="41" t="n"/>
      <c r="M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  <c r="K207" s="41" t="n"/>
      <c r="L207" s="41" t="n"/>
      <c r="M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  <c r="K208" s="41" t="n"/>
      <c r="L208" s="41" t="n"/>
      <c r="M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  <c r="K209" s="41" t="n"/>
      <c r="L209" s="41" t="n"/>
      <c r="M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  <c r="K211" s="41" t="n"/>
      <c r="L211" s="41" t="n"/>
      <c r="M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  <c r="K212" s="41" t="n"/>
      <c r="L212" s="41" t="n"/>
      <c r="M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  <c r="K213" s="41" t="n"/>
      <c r="L213" s="41" t="n"/>
      <c r="M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  <c r="K214" s="41" t="n"/>
      <c r="L214" s="41" t="n"/>
      <c r="M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  <c r="K215" s="41" t="n"/>
      <c r="L215" s="41" t="n"/>
      <c r="M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  <c r="K216" s="41" t="n"/>
      <c r="L216" s="41" t="n"/>
      <c r="M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  <c r="K217" s="41" t="n"/>
      <c r="L217" s="41" t="n"/>
      <c r="M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  <c r="K218" s="41" t="n"/>
      <c r="L218" s="41" t="n"/>
      <c r="M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  <c r="K219" s="41" t="n"/>
      <c r="L219" s="41" t="n"/>
      <c r="M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  <c r="K220" s="41" t="n"/>
      <c r="L220" s="41" t="n"/>
      <c r="M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  <c r="K221" s="41" t="n"/>
      <c r="L221" s="41" t="n"/>
      <c r="M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  <c r="K222" s="41" t="n"/>
      <c r="L222" s="41" t="n"/>
      <c r="M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  <c r="K223" s="41" t="n"/>
      <c r="L223" s="41" t="n"/>
      <c r="M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  <c r="K224" s="41" t="n"/>
      <c r="L224" s="41" t="n"/>
      <c r="M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  <c r="K226" s="41" t="n"/>
      <c r="L226" s="41" t="n"/>
      <c r="M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  <c r="K227" s="41" t="n"/>
      <c r="L227" s="41" t="n"/>
      <c r="M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  <c r="K228" s="41" t="n"/>
      <c r="L228" s="41" t="n"/>
      <c r="M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  <c r="K229" s="41" t="n"/>
      <c r="L229" s="41" t="n"/>
      <c r="M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  <c r="K230" s="41" t="n"/>
      <c r="L230" s="41" t="n"/>
      <c r="M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  <c r="K231" s="41" t="n"/>
      <c r="L231" s="41" t="n"/>
      <c r="M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  <c r="K232" s="41" t="n"/>
      <c r="L232" s="41" t="n"/>
      <c r="M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  <c r="K233" s="41" t="n"/>
      <c r="L233" s="41" t="n"/>
      <c r="M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  <c r="K234" s="41" t="n"/>
      <c r="L234" s="41" t="n"/>
      <c r="M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  <c r="K235" s="41" t="n"/>
      <c r="L235" s="41" t="n"/>
      <c r="M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  <c r="K236" s="41" t="n"/>
      <c r="L236" s="41" t="n"/>
      <c r="M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  <c r="K237" s="41" t="n"/>
      <c r="L237" s="41" t="n"/>
      <c r="M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  <c r="K238" s="41" t="n"/>
      <c r="L238" s="41" t="n"/>
      <c r="M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  <c r="K239" s="41" t="n"/>
      <c r="L239" s="41" t="n"/>
      <c r="M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  <c r="K241" s="41" t="n"/>
      <c r="L241" s="41" t="n"/>
      <c r="M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  <c r="K242" s="41" t="n"/>
      <c r="L242" s="41" t="n"/>
      <c r="M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  <c r="K243" s="41" t="n"/>
      <c r="L243" s="41" t="n"/>
      <c r="M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  <c r="K244" s="41" t="n"/>
      <c r="L244" s="41" t="n"/>
      <c r="M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  <c r="K245" s="41" t="n"/>
      <c r="L245" s="41" t="n"/>
      <c r="M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  <c r="K246" s="41" t="n"/>
      <c r="L246" s="41" t="n"/>
      <c r="M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  <c r="K247" s="41" t="n"/>
      <c r="L247" s="41" t="n"/>
      <c r="M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  <c r="K248" s="41" t="n"/>
      <c r="L248" s="41" t="n"/>
      <c r="M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  <c r="K249" s="41" t="n"/>
      <c r="L249" s="41" t="n"/>
      <c r="M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  <c r="K250" s="41" t="n"/>
      <c r="L250" s="41" t="n"/>
      <c r="M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  <c r="K251" s="41" t="n"/>
      <c r="L251" s="41" t="n"/>
      <c r="M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  <c r="K252" s="41" t="n"/>
      <c r="L252" s="41" t="n"/>
      <c r="M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  <c r="K253" s="41" t="n"/>
      <c r="L253" s="41" t="n"/>
      <c r="M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  <c r="K254" s="41" t="n"/>
      <c r="L254" s="41" t="n"/>
      <c r="M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  <c r="K255" s="41" t="n"/>
      <c r="L255" s="41" t="n"/>
      <c r="M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  <c r="K256" s="41" t="n"/>
      <c r="L256" s="41" t="n"/>
      <c r="M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  <c r="K257" s="41" t="n"/>
      <c r="L257" s="41" t="n"/>
      <c r="M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  <c r="K258" s="41" t="n"/>
      <c r="L258" s="41" t="n"/>
      <c r="M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  <c r="K259" s="41" t="n"/>
      <c r="L259" s="41" t="n"/>
      <c r="M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  <c r="K260" s="41" t="n"/>
      <c r="L260" s="41" t="n"/>
      <c r="M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  <c r="K261" s="41" t="n"/>
      <c r="L261" s="41" t="n"/>
      <c r="M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  <c r="K262" s="41" t="n"/>
      <c r="L262" s="41" t="n"/>
      <c r="M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  <c r="K263" s="41" t="n"/>
      <c r="L263" s="41" t="n"/>
      <c r="M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  <c r="K264" s="41" t="n"/>
      <c r="L264" s="41" t="n"/>
      <c r="M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  <c r="K265" s="41" t="n"/>
      <c r="L265" s="41" t="n"/>
      <c r="M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  <c r="K266" s="41" t="n"/>
      <c r="L266" s="41" t="n"/>
      <c r="M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  <c r="K267" s="41" t="n"/>
      <c r="L267" s="41" t="n"/>
      <c r="M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  <c r="K268" s="41" t="n"/>
      <c r="L268" s="41" t="n"/>
      <c r="M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  <c r="K269" s="41" t="n"/>
      <c r="L269" s="41" t="n"/>
      <c r="M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  <c r="K270" s="41" t="n"/>
      <c r="L270" s="41" t="n"/>
      <c r="M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  <c r="K271" s="41" t="n"/>
      <c r="L271" s="41" t="n"/>
      <c r="M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  <c r="K272" s="41" t="n"/>
      <c r="L272" s="41" t="n"/>
      <c r="M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  <c r="K273" s="41" t="n"/>
      <c r="L273" s="41" t="n"/>
      <c r="M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  <c r="K274" s="41" t="n"/>
      <c r="L274" s="41" t="n"/>
      <c r="M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  <c r="K275" s="41" t="n"/>
      <c r="L275" s="41" t="n"/>
      <c r="M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  <c r="K276" s="41" t="n"/>
      <c r="L276" s="41" t="n"/>
      <c r="M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  <c r="K277" s="41" t="n"/>
      <c r="L277" s="41" t="n"/>
      <c r="M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  <c r="K278" s="41" t="n"/>
      <c r="L278" s="41" t="n"/>
      <c r="M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  <c r="K279" s="41" t="n"/>
      <c r="L279" s="41" t="n"/>
      <c r="M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  <c r="K280" s="41" t="n"/>
      <c r="L280" s="41" t="n"/>
      <c r="M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  <c r="K281" s="41" t="n"/>
      <c r="L281" s="41" t="n"/>
      <c r="M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  <c r="K282" s="41" t="n"/>
      <c r="L282" s="41" t="n"/>
      <c r="M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  <c r="K283" s="41" t="n"/>
      <c r="L283" s="41" t="n"/>
      <c r="M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  <c r="K284" s="41" t="n"/>
      <c r="L284" s="41" t="n"/>
      <c r="M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  <c r="K285" s="41" t="n"/>
      <c r="L285" s="41" t="n"/>
      <c r="M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  <c r="K286" s="41" t="n"/>
      <c r="L286" s="41" t="n"/>
      <c r="M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  <c r="K287" s="41" t="n"/>
      <c r="L287" s="41" t="n"/>
      <c r="M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  <c r="K288" s="41" t="n"/>
      <c r="L288" s="41" t="n"/>
      <c r="M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  <c r="K289" s="41" t="n"/>
      <c r="L289" s="41" t="n"/>
      <c r="M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  <c r="K290" s="41" t="n"/>
      <c r="L290" s="41" t="n"/>
      <c r="M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  <c r="K291" s="41" t="n"/>
      <c r="L291" s="41" t="n"/>
      <c r="M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  <c r="K292" s="41" t="n"/>
      <c r="L292" s="41" t="n"/>
      <c r="M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  <c r="K293" s="41" t="n"/>
      <c r="L293" s="41" t="n"/>
      <c r="M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  <c r="K294" s="41" t="n"/>
      <c r="L294" s="41" t="n"/>
      <c r="M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  <c r="K295" s="41" t="n"/>
      <c r="L295" s="41" t="n"/>
      <c r="M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  <c r="K296" s="41" t="n"/>
      <c r="L296" s="41" t="n"/>
      <c r="M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  <c r="K297" s="41" t="n"/>
      <c r="L297" s="41" t="n"/>
      <c r="M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  <c r="K298" s="41" t="n"/>
      <c r="L298" s="41" t="n"/>
      <c r="M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  <c r="K299" s="41" t="n"/>
      <c r="L299" s="41" t="n"/>
      <c r="M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  <c r="K300" s="41" t="n"/>
      <c r="L300" s="41" t="n"/>
      <c r="M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  <c r="K301" s="41" t="n"/>
      <c r="L301" s="41" t="n"/>
      <c r="M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  <c r="K302" s="41" t="n"/>
      <c r="L302" s="41" t="n"/>
      <c r="M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  <c r="K303" s="41" t="n"/>
      <c r="L303" s="41" t="n"/>
      <c r="M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  <c r="K304" s="41" t="n"/>
      <c r="L304" s="41" t="n"/>
      <c r="M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  <c r="K305" s="41" t="n"/>
      <c r="L305" s="41" t="n"/>
      <c r="M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  <c r="K306" s="41" t="n"/>
      <c r="L306" s="41" t="n"/>
      <c r="M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  <c r="K307" s="41" t="n"/>
      <c r="L307" s="41" t="n"/>
      <c r="M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  <c r="K308" s="41" t="n"/>
      <c r="L308" s="41" t="n"/>
      <c r="M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  <c r="K309" s="41" t="n"/>
      <c r="L309" s="41" t="n"/>
      <c r="M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  <c r="K310" s="41" t="n"/>
      <c r="L310" s="41" t="n"/>
      <c r="M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  <c r="K311" s="41" t="n"/>
      <c r="L311" s="41" t="n"/>
      <c r="M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  <c r="K312" s="41" t="n"/>
      <c r="L312" s="41" t="n"/>
      <c r="M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  <c r="K313" s="41" t="n"/>
      <c r="L313" s="41" t="n"/>
      <c r="M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  <c r="K314" s="41" t="n"/>
      <c r="L314" s="41" t="n"/>
      <c r="M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  <c r="K315" s="41" t="n"/>
      <c r="L315" s="41" t="n"/>
      <c r="M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  <c r="K316" s="41" t="n"/>
      <c r="L316" s="41" t="n"/>
      <c r="M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  <c r="K317" s="41" t="n"/>
      <c r="L317" s="41" t="n"/>
      <c r="M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  <c r="K318" s="41" t="n"/>
      <c r="L318" s="41" t="n"/>
      <c r="M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  <c r="K319" s="41" t="n"/>
      <c r="L319" s="41" t="n"/>
      <c r="M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  <c r="K320" s="41" t="n"/>
      <c r="L320" s="41" t="n"/>
      <c r="M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  <c r="K321" s="41" t="n"/>
      <c r="L321" s="41" t="n"/>
      <c r="M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  <c r="K322" s="41" t="n"/>
      <c r="L322" s="41" t="n"/>
      <c r="M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  <c r="K323" s="41" t="n"/>
      <c r="L323" s="41" t="n"/>
      <c r="M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  <c r="K324" s="41" t="n"/>
      <c r="L324" s="41" t="n"/>
      <c r="M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  <c r="K325" s="41" t="n"/>
      <c r="L325" s="41" t="n"/>
      <c r="M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  <c r="K326" s="41" t="n"/>
      <c r="L326" s="41" t="n"/>
      <c r="M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  <c r="K327" s="41" t="n"/>
      <c r="L327" s="41" t="n"/>
      <c r="M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  <c r="K328" s="41" t="n"/>
      <c r="L328" s="41" t="n"/>
      <c r="M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  <c r="K329" s="41" t="n"/>
      <c r="L329" s="41" t="n"/>
      <c r="M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  <c r="K330" s="41" t="n"/>
      <c r="L330" s="41" t="n"/>
      <c r="M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  <c r="K331" s="41" t="n"/>
      <c r="L331" s="41" t="n"/>
      <c r="M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  <c r="K332" s="41" t="n"/>
      <c r="L332" s="41" t="n"/>
      <c r="M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  <c r="K333" s="41" t="n"/>
      <c r="L333" s="41" t="n"/>
      <c r="M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  <c r="K334" s="41" t="n"/>
      <c r="L334" s="41" t="n"/>
      <c r="M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  <c r="K335" s="41" t="n"/>
      <c r="L335" s="41" t="n"/>
      <c r="M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  <c r="K336" s="41" t="n"/>
      <c r="L336" s="41" t="n"/>
      <c r="M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  <c r="K337" s="41" t="n"/>
      <c r="L337" s="41" t="n"/>
      <c r="M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  <c r="K338" s="41" t="n"/>
      <c r="L338" s="41" t="n"/>
      <c r="M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  <c r="K339" s="41" t="n"/>
      <c r="L339" s="41" t="n"/>
      <c r="M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  <c r="K340" s="41" t="n"/>
      <c r="L340" s="41" t="n"/>
      <c r="M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  <c r="K341" s="41" t="n"/>
      <c r="L341" s="41" t="n"/>
      <c r="M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  <c r="K342" s="41" t="n"/>
      <c r="L342" s="41" t="n"/>
      <c r="M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  <c r="K343" s="41" t="n"/>
      <c r="L343" s="41" t="n"/>
      <c r="M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  <c r="K344" s="41" t="n"/>
      <c r="L344" s="41" t="n"/>
      <c r="M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  <c r="K345" s="41" t="n"/>
      <c r="L345" s="41" t="n"/>
      <c r="M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  <c r="K346" s="41" t="n"/>
      <c r="L346" s="41" t="n"/>
      <c r="M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  <c r="K347" s="41" t="n"/>
      <c r="L347" s="41" t="n"/>
      <c r="M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  <c r="K348" s="41" t="n"/>
      <c r="L348" s="41" t="n"/>
      <c r="M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  <c r="K349" s="41" t="n"/>
      <c r="L349" s="41" t="n"/>
      <c r="M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  <c r="K350" s="41" t="n"/>
      <c r="L350" s="41" t="n"/>
      <c r="M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  <c r="K351" s="41" t="n"/>
      <c r="L351" s="41" t="n"/>
      <c r="M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  <c r="K352" s="41" t="n"/>
      <c r="L352" s="41" t="n"/>
      <c r="M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  <c r="K353" s="41" t="n"/>
      <c r="L353" s="41" t="n"/>
      <c r="M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  <c r="K354" s="41" t="n"/>
      <c r="L354" s="41" t="n"/>
      <c r="M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  <c r="K355" s="41" t="n"/>
      <c r="L355" s="41" t="n"/>
      <c r="M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  <c r="K356" s="41" t="n"/>
      <c r="L356" s="41" t="n"/>
      <c r="M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  <c r="K357" s="41" t="n"/>
      <c r="L357" s="41" t="n"/>
      <c r="M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  <c r="K358" s="41" t="n"/>
      <c r="L358" s="41" t="n"/>
      <c r="M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  <c r="K359" s="41" t="n"/>
      <c r="L359" s="41" t="n"/>
      <c r="M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  <c r="K360" s="41" t="n"/>
      <c r="L360" s="41" t="n"/>
      <c r="M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  <c r="K361" s="41" t="n"/>
      <c r="L361" s="41" t="n"/>
      <c r="M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  <c r="K362" s="41" t="n"/>
      <c r="L362" s="41" t="n"/>
      <c r="M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  <c r="K363" s="41" t="n"/>
      <c r="L363" s="41" t="n"/>
      <c r="M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  <c r="K364" s="41" t="n"/>
      <c r="L364" s="41" t="n"/>
      <c r="M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  <c r="K365" s="41" t="n"/>
      <c r="L365" s="41" t="n"/>
      <c r="M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  <c r="K366" s="41" t="n"/>
      <c r="L366" s="41" t="n"/>
      <c r="M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  <c r="K367" s="41" t="n"/>
      <c r="L367" s="41" t="n"/>
      <c r="M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  <c r="K368" s="41" t="n"/>
      <c r="L368" s="41" t="n"/>
      <c r="M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  <c r="K369" s="41" t="n"/>
      <c r="L369" s="41" t="n"/>
      <c r="M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  <c r="K370" s="41" t="n"/>
      <c r="L370" s="41" t="n"/>
      <c r="M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  <c r="K371" s="41" t="n"/>
      <c r="L371" s="41" t="n"/>
      <c r="M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  <c r="K372" s="41" t="n"/>
      <c r="L372" s="41" t="n"/>
      <c r="M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  <c r="K373" s="41" t="n"/>
      <c r="L373" s="41" t="n"/>
      <c r="M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  <c r="K374" s="41" t="n"/>
      <c r="L374" s="41" t="n"/>
      <c r="M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  <c r="K375" s="41" t="n"/>
      <c r="L375" s="41" t="n"/>
      <c r="M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  <c r="K376" s="41" t="n"/>
      <c r="L376" s="41" t="n"/>
      <c r="M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  <c r="K377" s="41" t="n"/>
      <c r="L377" s="41" t="n"/>
      <c r="M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  <c r="K378" s="41" t="n"/>
      <c r="L378" s="41" t="n"/>
      <c r="M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  <c r="K379" s="41" t="n"/>
      <c r="L379" s="41" t="n"/>
      <c r="M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  <c r="K380" s="41" t="n"/>
      <c r="L380" s="41" t="n"/>
      <c r="M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  <c r="K381" s="41" t="n"/>
      <c r="L381" s="41" t="n"/>
      <c r="M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  <c r="K382" s="41" t="n"/>
      <c r="L382" s="41" t="n"/>
      <c r="M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  <c r="K383" s="41" t="n"/>
      <c r="L383" s="41" t="n"/>
      <c r="M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  <c r="K384" s="41" t="n"/>
      <c r="L384" s="41" t="n"/>
      <c r="M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  <c r="K385" s="41" t="n"/>
      <c r="L385" s="41" t="n"/>
      <c r="M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  <c r="K386" s="41" t="n"/>
      <c r="L386" s="41" t="n"/>
      <c r="M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  <c r="K387" s="41" t="n"/>
      <c r="L387" s="41" t="n"/>
      <c r="M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  <c r="K388" s="41" t="n"/>
      <c r="L388" s="41" t="n"/>
      <c r="M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  <c r="K389" s="41" t="n"/>
      <c r="L389" s="41" t="n"/>
      <c r="M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  <c r="K390" s="41" t="n"/>
      <c r="L390" s="41" t="n"/>
      <c r="M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  <c r="K391" s="41" t="n"/>
      <c r="L391" s="41" t="n"/>
      <c r="M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  <c r="K392" s="41" t="n"/>
      <c r="L392" s="41" t="n"/>
      <c r="M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  <c r="K393" s="41" t="n"/>
      <c r="L393" s="41" t="n"/>
      <c r="M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  <c r="K394" s="41" t="n"/>
      <c r="L394" s="41" t="n"/>
      <c r="M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  <c r="K395" s="41" t="n"/>
      <c r="L395" s="41" t="n"/>
      <c r="M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  <c r="K396" s="41" t="n"/>
      <c r="L396" s="41" t="n"/>
      <c r="M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  <c r="K397" s="41" t="n"/>
      <c r="L397" s="41" t="n"/>
      <c r="M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  <c r="K398" s="41" t="n"/>
      <c r="L398" s="41" t="n"/>
      <c r="M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  <c r="K399" s="41" t="n"/>
      <c r="L399" s="41" t="n"/>
      <c r="M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  <c r="K400" s="41" t="n"/>
      <c r="L400" s="41" t="n"/>
      <c r="M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  <c r="K401" s="41" t="n"/>
      <c r="L401" s="41" t="n"/>
      <c r="M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  <c r="K402" s="41" t="n"/>
      <c r="L402" s="41" t="n"/>
      <c r="M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  <c r="K403" s="41" t="n"/>
      <c r="L403" s="41" t="n"/>
      <c r="M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  <c r="K404" s="41" t="n"/>
      <c r="L404" s="41" t="n"/>
      <c r="M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  <c r="K405" s="41" t="n"/>
      <c r="L405" s="41" t="n"/>
      <c r="M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  <c r="K406" s="41" t="n"/>
      <c r="L406" s="41" t="n"/>
      <c r="M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  <c r="K407" s="41" t="n"/>
      <c r="L407" s="41" t="n"/>
      <c r="M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  <c r="K408" s="41" t="n"/>
      <c r="L408" s="41" t="n"/>
      <c r="M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  <c r="K409" s="41" t="n"/>
      <c r="L409" s="41" t="n"/>
      <c r="M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  <c r="K410" s="41" t="n"/>
      <c r="L410" s="41" t="n"/>
      <c r="M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  <c r="K411" s="41" t="n"/>
      <c r="L411" s="41" t="n"/>
      <c r="M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  <c r="K412" s="41" t="n"/>
      <c r="L412" s="41" t="n"/>
      <c r="M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  <c r="K413" s="41" t="n"/>
      <c r="L413" s="41" t="n"/>
      <c r="M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  <c r="K414" s="41" t="n"/>
      <c r="L414" s="41" t="n"/>
      <c r="M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  <c r="K415" s="41" t="n"/>
      <c r="L415" s="41" t="n"/>
      <c r="M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  <c r="K416" s="41" t="n"/>
      <c r="L416" s="41" t="n"/>
      <c r="M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  <c r="K417" s="41" t="n"/>
      <c r="L417" s="41" t="n"/>
      <c r="M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  <c r="K418" s="41" t="n"/>
      <c r="L418" s="41" t="n"/>
      <c r="M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  <c r="K419" s="41" t="n"/>
      <c r="L419" s="41" t="n"/>
      <c r="M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  <c r="K420" s="41" t="n"/>
      <c r="L420" s="41" t="n"/>
      <c r="M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  <c r="K421" s="41" t="n"/>
      <c r="L421" s="41" t="n"/>
      <c r="M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  <c r="K422" s="41" t="n"/>
      <c r="L422" s="41" t="n"/>
      <c r="M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  <c r="K423" s="41" t="n"/>
      <c r="L423" s="41" t="n"/>
      <c r="M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  <c r="K424" s="41" t="n"/>
      <c r="L424" s="41" t="n"/>
      <c r="M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  <c r="K425" s="41" t="n"/>
      <c r="L425" s="41" t="n"/>
      <c r="M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  <c r="K426" s="41" t="n"/>
      <c r="L426" s="41" t="n"/>
      <c r="M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  <c r="K427" s="41" t="n"/>
      <c r="L427" s="41" t="n"/>
      <c r="M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  <c r="K428" s="41" t="n"/>
      <c r="L428" s="41" t="n"/>
      <c r="M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  <c r="K429" s="41" t="n"/>
      <c r="L429" s="41" t="n"/>
      <c r="M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  <c r="K430" s="41" t="n"/>
      <c r="L430" s="41" t="n"/>
      <c r="M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  <c r="K431" s="41" t="n"/>
      <c r="L431" s="41" t="n"/>
      <c r="M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  <c r="K432" s="41" t="n"/>
      <c r="L432" s="41" t="n"/>
      <c r="M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  <c r="K433" s="41" t="n"/>
      <c r="L433" s="41" t="n"/>
      <c r="M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  <c r="K434" s="41" t="n"/>
      <c r="L434" s="41" t="n"/>
      <c r="M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  <c r="K435" s="41" t="n"/>
      <c r="L435" s="41" t="n"/>
      <c r="M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  <c r="K436" s="41" t="n"/>
      <c r="L436" s="41" t="n"/>
      <c r="M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  <c r="K437" s="41" t="n"/>
      <c r="L437" s="41" t="n"/>
      <c r="M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  <c r="K438" s="41" t="n"/>
      <c r="L438" s="41" t="n"/>
      <c r="M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  <c r="K439" s="41" t="n"/>
      <c r="L439" s="41" t="n"/>
      <c r="M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  <c r="K440" s="41" t="n"/>
      <c r="L440" s="41" t="n"/>
      <c r="M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  <c r="K441" s="41" t="n"/>
      <c r="L441" s="41" t="n"/>
      <c r="M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  <c r="K442" s="41" t="n"/>
      <c r="L442" s="41" t="n"/>
      <c r="M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  <c r="K443" s="41" t="n"/>
      <c r="L443" s="41" t="n"/>
      <c r="M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  <c r="K444" s="41" t="n"/>
      <c r="L444" s="41" t="n"/>
      <c r="M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  <c r="K445" s="41" t="n"/>
      <c r="L445" s="41" t="n"/>
      <c r="M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  <c r="K446" s="41" t="n"/>
      <c r="L446" s="41" t="n"/>
      <c r="M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  <c r="K447" s="41" t="n"/>
      <c r="L447" s="41" t="n"/>
      <c r="M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  <c r="K448" s="41" t="n"/>
      <c r="L448" s="41" t="n"/>
      <c r="M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  <c r="K449" s="41" t="n"/>
      <c r="L449" s="41" t="n"/>
      <c r="M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  <c r="K450" s="41" t="n"/>
      <c r="L450" s="41" t="n"/>
      <c r="M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  <c r="K451" s="41" t="n"/>
      <c r="L451" s="41" t="n"/>
      <c r="M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  <c r="K452" s="41" t="n"/>
      <c r="L452" s="41" t="n"/>
      <c r="M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  <c r="K453" s="41" t="n"/>
      <c r="L453" s="41" t="n"/>
      <c r="M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  <c r="K454" s="41" t="n"/>
      <c r="L454" s="41" t="n"/>
      <c r="M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  <c r="K455" s="41" t="n"/>
      <c r="L455" s="41" t="n"/>
      <c r="M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  <c r="K456" s="41" t="n"/>
      <c r="L456" s="41" t="n"/>
      <c r="M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  <c r="K457" s="41" t="n"/>
      <c r="L457" s="41" t="n"/>
      <c r="M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  <c r="K458" s="41" t="n"/>
      <c r="L458" s="41" t="n"/>
      <c r="M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  <c r="K459" s="41" t="n"/>
      <c r="L459" s="41" t="n"/>
      <c r="M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  <c r="K460" s="41" t="n"/>
      <c r="L460" s="41" t="n"/>
      <c r="M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  <c r="K461" s="41" t="n"/>
      <c r="L461" s="41" t="n"/>
      <c r="M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  <c r="K462" s="41" t="n"/>
      <c r="L462" s="41" t="n"/>
      <c r="M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  <c r="K463" s="41" t="n"/>
      <c r="L463" s="41" t="n"/>
      <c r="M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  <c r="K464" s="41" t="n"/>
      <c r="L464" s="41" t="n"/>
      <c r="M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  <c r="K465" s="41" t="n"/>
      <c r="L465" s="41" t="n"/>
      <c r="M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  <c r="K466" s="41" t="n"/>
      <c r="L466" s="41" t="n"/>
      <c r="M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  <c r="K467" s="41" t="n"/>
      <c r="L467" s="41" t="n"/>
      <c r="M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  <c r="K468" s="41" t="n"/>
      <c r="L468" s="41" t="n"/>
      <c r="M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  <c r="K469" s="41" t="n"/>
      <c r="L469" s="41" t="n"/>
      <c r="M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  <c r="K470" s="41" t="n"/>
      <c r="L470" s="41" t="n"/>
      <c r="M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  <c r="K471" s="41" t="n"/>
      <c r="L471" s="41" t="n"/>
      <c r="M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  <c r="K472" s="41" t="n"/>
      <c r="L472" s="41" t="n"/>
      <c r="M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  <c r="K473" s="41" t="n"/>
      <c r="L473" s="41" t="n"/>
      <c r="M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  <c r="K474" s="41" t="n"/>
      <c r="L474" s="41" t="n"/>
      <c r="M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  <c r="K475" s="41" t="n"/>
      <c r="L475" s="41" t="n"/>
      <c r="M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  <c r="K476" s="41" t="n"/>
      <c r="L476" s="41" t="n"/>
      <c r="M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  <c r="K477" s="41" t="n"/>
      <c r="L477" s="41" t="n"/>
      <c r="M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  <c r="K478" s="41" t="n"/>
      <c r="L478" s="41" t="n"/>
      <c r="M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  <c r="K479" s="41" t="n"/>
      <c r="L479" s="41" t="n"/>
      <c r="M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  <c r="K480" s="41" t="n"/>
      <c r="L480" s="41" t="n"/>
      <c r="M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  <c r="K481" s="41" t="n"/>
      <c r="L481" s="41" t="n"/>
      <c r="M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  <c r="K482" s="41" t="n"/>
      <c r="L482" s="41" t="n"/>
      <c r="M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  <c r="K483" s="41" t="n"/>
      <c r="L483" s="41" t="n"/>
      <c r="M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  <c r="K484" s="41" t="n"/>
      <c r="L484" s="41" t="n"/>
      <c r="M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  <c r="K485" s="41" t="n"/>
      <c r="L485" s="41" t="n"/>
      <c r="M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  <c r="K486" s="41" t="n"/>
      <c r="L486" s="41" t="n"/>
      <c r="M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  <c r="K487" s="41" t="n"/>
      <c r="L487" s="41" t="n"/>
      <c r="M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  <c r="K488" s="41" t="n"/>
      <c r="L488" s="41" t="n"/>
      <c r="M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  <c r="K489" s="41" t="n"/>
      <c r="L489" s="41" t="n"/>
      <c r="M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  <c r="K490" s="41" t="n"/>
      <c r="L490" s="41" t="n"/>
      <c r="M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  <c r="K491" s="41" t="n"/>
      <c r="L491" s="41" t="n"/>
      <c r="M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  <c r="K492" s="41" t="n"/>
      <c r="L492" s="41" t="n"/>
      <c r="M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  <c r="K493" s="41" t="n"/>
      <c r="L493" s="41" t="n"/>
      <c r="M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  <c r="K494" s="41" t="n"/>
      <c r="L494" s="41" t="n"/>
      <c r="M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  <c r="K495" s="41" t="n"/>
      <c r="L495" s="41" t="n"/>
      <c r="M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  <c r="K496" s="41" t="n"/>
      <c r="L496" s="41" t="n"/>
      <c r="M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  <c r="K497" s="41" t="n"/>
      <c r="L497" s="41" t="n"/>
      <c r="M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  <c r="K498" s="41" t="n"/>
      <c r="L498" s="41" t="n"/>
      <c r="M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  <c r="K499" s="41" t="n"/>
      <c r="L499" s="41" t="n"/>
      <c r="M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  <c r="K500" s="41" t="n"/>
      <c r="L500" s="41" t="n"/>
      <c r="M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  <c r="K501" s="41" t="n"/>
      <c r="L501" s="41" t="n"/>
      <c r="M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  <c r="K502" s="41" t="n"/>
      <c r="L502" s="41" t="n"/>
      <c r="M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  <c r="K503" s="41" t="n"/>
      <c r="L503" s="41" t="n"/>
      <c r="M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  <c r="K504" s="41" t="n"/>
      <c r="L504" s="41" t="n"/>
      <c r="M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  <c r="K505" s="41" t="n"/>
      <c r="L505" s="41" t="n"/>
      <c r="M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  <c r="K506" s="41" t="n"/>
      <c r="L506" s="41" t="n"/>
      <c r="M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  <c r="K507" s="41" t="n"/>
      <c r="L507" s="41" t="n"/>
      <c r="M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  <c r="K508" s="41" t="n"/>
      <c r="L508" s="41" t="n"/>
      <c r="M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  <c r="K509" s="41" t="n"/>
      <c r="L509" s="41" t="n"/>
      <c r="M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  <c r="K510" s="41" t="n"/>
      <c r="L510" s="41" t="n"/>
      <c r="M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  <c r="K511" s="41" t="n"/>
      <c r="L511" s="41" t="n"/>
      <c r="M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  <c r="K512" s="41" t="n"/>
      <c r="L512" s="41" t="n"/>
      <c r="M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  <c r="K513" s="41" t="n"/>
      <c r="L513" s="41" t="n"/>
      <c r="M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  <c r="K514" s="41" t="n"/>
      <c r="L514" s="41" t="n"/>
      <c r="M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  <c r="K515" s="41" t="n"/>
      <c r="L515" s="41" t="n"/>
      <c r="M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  <c r="K516" s="41" t="n"/>
      <c r="L516" s="41" t="n"/>
      <c r="M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  <c r="K517" s="41" t="n"/>
      <c r="L517" s="41" t="n"/>
      <c r="M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  <c r="K518" s="41" t="n"/>
      <c r="L518" s="41" t="n"/>
      <c r="M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  <c r="K519" s="41" t="n"/>
      <c r="L519" s="41" t="n"/>
      <c r="M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  <c r="K520" s="41" t="n"/>
      <c r="L520" s="41" t="n"/>
      <c r="M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  <c r="K521" s="41" t="n"/>
      <c r="L521" s="41" t="n"/>
      <c r="M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  <c r="K522" s="41" t="n"/>
      <c r="L522" s="41" t="n"/>
      <c r="M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  <c r="K523" s="41" t="n"/>
      <c r="L523" s="41" t="n"/>
      <c r="M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  <c r="K524" s="41" t="n"/>
      <c r="L524" s="41" t="n"/>
      <c r="M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  <c r="K525" s="41" t="n"/>
      <c r="L525" s="41" t="n"/>
      <c r="M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  <c r="K526" s="41" t="n"/>
      <c r="L526" s="41" t="n"/>
      <c r="M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  <c r="K527" s="41" t="n"/>
      <c r="L527" s="41" t="n"/>
      <c r="M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  <c r="K528" s="41" t="n"/>
      <c r="L528" s="41" t="n"/>
      <c r="M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  <c r="K529" s="41" t="n"/>
      <c r="L529" s="41" t="n"/>
      <c r="M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  <c r="K530" s="41" t="n"/>
      <c r="L530" s="41" t="n"/>
      <c r="M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  <c r="K531" s="41" t="n"/>
      <c r="L531" s="41" t="n"/>
      <c r="M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  <c r="K532" s="41" t="n"/>
      <c r="L532" s="41" t="n"/>
      <c r="M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  <c r="K533" s="41" t="n"/>
      <c r="L533" s="41" t="n"/>
      <c r="M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  <c r="K534" s="41" t="n"/>
      <c r="L534" s="41" t="n"/>
      <c r="M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  <c r="K535" s="41" t="n"/>
      <c r="L535" s="41" t="n"/>
      <c r="M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  <c r="K536" s="41" t="n"/>
      <c r="L536" s="41" t="n"/>
      <c r="M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  <c r="K537" s="41" t="n"/>
      <c r="L537" s="41" t="n"/>
      <c r="M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  <c r="K538" s="41" t="n"/>
      <c r="L538" s="41" t="n"/>
      <c r="M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  <c r="K539" s="41" t="n"/>
      <c r="L539" s="41" t="n"/>
      <c r="M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  <c r="K540" s="41" t="n"/>
      <c r="L540" s="41" t="n"/>
      <c r="M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  <c r="K541" s="41" t="n"/>
      <c r="L541" s="41" t="n"/>
      <c r="M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  <c r="K542" s="41" t="n"/>
      <c r="L542" s="41" t="n"/>
      <c r="M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  <c r="K543" s="41" t="n"/>
      <c r="L543" s="41" t="n"/>
      <c r="M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  <c r="K544" s="41" t="n"/>
      <c r="L544" s="41" t="n"/>
      <c r="M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  <c r="K545" s="41" t="n"/>
      <c r="L545" s="41" t="n"/>
      <c r="M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  <c r="K546" s="41" t="n"/>
      <c r="L546" s="41" t="n"/>
      <c r="M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  <c r="K547" s="41" t="n"/>
      <c r="L547" s="41" t="n"/>
      <c r="M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  <c r="K548" s="41" t="n"/>
      <c r="L548" s="41" t="n"/>
      <c r="M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  <c r="K549" s="41" t="n"/>
      <c r="L549" s="41" t="n"/>
      <c r="M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  <c r="K550" s="41" t="n"/>
      <c r="L550" s="41" t="n"/>
      <c r="M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  <c r="K551" s="41" t="n"/>
      <c r="L551" s="41" t="n"/>
      <c r="M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  <c r="K552" s="41" t="n"/>
      <c r="L552" s="41" t="n"/>
      <c r="M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  <c r="K553" s="41" t="n"/>
      <c r="L553" s="41" t="n"/>
      <c r="M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  <c r="K554" s="41" t="n"/>
      <c r="L554" s="41" t="n"/>
      <c r="M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  <c r="K555" s="41" t="n"/>
      <c r="L555" s="41" t="n"/>
      <c r="M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  <c r="K556" s="41" t="n"/>
      <c r="L556" s="41" t="n"/>
      <c r="M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  <c r="K557" s="41" t="n"/>
      <c r="L557" s="41" t="n"/>
      <c r="M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  <c r="K558" s="41" t="n"/>
      <c r="L558" s="41" t="n"/>
      <c r="M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  <c r="K559" s="41" t="n"/>
      <c r="L559" s="41" t="n"/>
      <c r="M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  <c r="K560" s="41" t="n"/>
      <c r="L560" s="41" t="n"/>
      <c r="M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  <c r="K561" s="41" t="n"/>
      <c r="L561" s="41" t="n"/>
      <c r="M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  <c r="K562" s="41" t="n"/>
      <c r="L562" s="41" t="n"/>
      <c r="M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  <c r="K563" s="41" t="n"/>
      <c r="L563" s="41" t="n"/>
      <c r="M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  <c r="K564" s="41" t="n"/>
      <c r="L564" s="41" t="n"/>
      <c r="M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  <c r="K565" s="41" t="n"/>
      <c r="L565" s="41" t="n"/>
      <c r="M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  <c r="K566" s="41" t="n"/>
      <c r="L566" s="41" t="n"/>
      <c r="M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  <c r="K567" s="41" t="n"/>
      <c r="L567" s="41" t="n"/>
      <c r="M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  <c r="K568" s="41" t="n"/>
      <c r="L568" s="41" t="n"/>
      <c r="M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  <c r="K569" s="41" t="n"/>
      <c r="L569" s="41" t="n"/>
      <c r="M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  <c r="K570" s="41" t="n"/>
      <c r="L570" s="41" t="n"/>
      <c r="M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  <c r="K571" s="41" t="n"/>
      <c r="L571" s="41" t="n"/>
      <c r="M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  <c r="K572" s="41" t="n"/>
      <c r="L572" s="41" t="n"/>
      <c r="M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  <c r="K573" s="41" t="n"/>
      <c r="L573" s="41" t="n"/>
      <c r="M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  <c r="K574" s="41" t="n"/>
      <c r="L574" s="41" t="n"/>
      <c r="M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  <c r="K575" s="41" t="n"/>
      <c r="L575" s="41" t="n"/>
      <c r="M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  <c r="K576" s="41" t="n"/>
      <c r="L576" s="41" t="n"/>
      <c r="M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  <c r="K577" s="41" t="n"/>
      <c r="L577" s="41" t="n"/>
      <c r="M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  <c r="K578" s="41" t="n"/>
      <c r="L578" s="41" t="n"/>
      <c r="M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  <c r="K579" s="41" t="n"/>
      <c r="L579" s="41" t="n"/>
      <c r="M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  <c r="K580" s="41" t="n"/>
      <c r="L580" s="41" t="n"/>
      <c r="M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  <c r="K581" s="41" t="n"/>
      <c r="L581" s="41" t="n"/>
      <c r="M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  <c r="K582" s="41" t="n"/>
      <c r="L582" s="41" t="n"/>
      <c r="M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  <c r="K583" s="41" t="n"/>
      <c r="L583" s="41" t="n"/>
      <c r="M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  <c r="K584" s="41" t="n"/>
      <c r="L584" s="41" t="n"/>
      <c r="M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  <c r="K585" s="41" t="n"/>
      <c r="L585" s="41" t="n"/>
      <c r="M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  <c r="K586" s="41" t="n"/>
      <c r="L586" s="41" t="n"/>
      <c r="M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  <c r="K587" s="41" t="n"/>
      <c r="L587" s="41" t="n"/>
      <c r="M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  <c r="K588" s="41" t="n"/>
      <c r="L588" s="41" t="n"/>
      <c r="M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  <c r="K589" s="41" t="n"/>
      <c r="L589" s="41" t="n"/>
      <c r="M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  <c r="K590" s="41" t="n"/>
      <c r="L590" s="41" t="n"/>
      <c r="M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  <c r="K591" s="41" t="n"/>
      <c r="L591" s="41" t="n"/>
      <c r="M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  <c r="K592" s="41" t="n"/>
      <c r="L592" s="41" t="n"/>
      <c r="M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  <c r="K593" s="41" t="n"/>
      <c r="L593" s="41" t="n"/>
      <c r="M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  <c r="K594" s="41" t="n"/>
      <c r="L594" s="41" t="n"/>
      <c r="M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  <c r="K595" s="41" t="n"/>
      <c r="L595" s="41" t="n"/>
      <c r="M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  <c r="K596" s="41" t="n"/>
      <c r="L596" s="41" t="n"/>
      <c r="M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  <c r="K597" s="41" t="n"/>
      <c r="L597" s="41" t="n"/>
      <c r="M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  <c r="K598" s="41" t="n"/>
      <c r="L598" s="41" t="n"/>
      <c r="M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  <c r="K599" s="41" t="n"/>
      <c r="L599" s="41" t="n"/>
      <c r="M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  <c r="K600" s="41" t="n"/>
      <c r="L600" s="41" t="n"/>
      <c r="M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  <c r="K601" s="41" t="n"/>
      <c r="L601" s="41" t="n"/>
      <c r="M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  <c r="K602" s="41" t="n"/>
      <c r="L602" s="41" t="n"/>
      <c r="M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  <c r="K603" s="41" t="n"/>
      <c r="L603" s="41" t="n"/>
      <c r="M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  <c r="K604" s="41" t="n"/>
      <c r="L604" s="41" t="n"/>
      <c r="M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  <c r="K605" s="41" t="n"/>
      <c r="L605" s="41" t="n"/>
      <c r="M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  <c r="K606" s="41" t="n"/>
      <c r="L606" s="41" t="n"/>
      <c r="M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  <c r="K607" s="41" t="n"/>
      <c r="L607" s="41" t="n"/>
      <c r="M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  <c r="K608" s="41" t="n"/>
      <c r="L608" s="41" t="n"/>
      <c r="M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  <c r="K609" s="41" t="n"/>
      <c r="L609" s="41" t="n"/>
      <c r="M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  <c r="K610" s="41" t="n"/>
      <c r="L610" s="41" t="n"/>
      <c r="M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  <c r="K611" s="41" t="n"/>
      <c r="L611" s="41" t="n"/>
      <c r="M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  <c r="K612" s="41" t="n"/>
      <c r="L612" s="41" t="n"/>
      <c r="M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  <c r="K613" s="41" t="n"/>
      <c r="L613" s="41" t="n"/>
      <c r="M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  <c r="K614" s="41" t="n"/>
      <c r="L614" s="41" t="n"/>
      <c r="M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  <c r="K615" s="41" t="n"/>
      <c r="L615" s="41" t="n"/>
      <c r="M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  <c r="K616" s="41" t="n"/>
      <c r="L616" s="41" t="n"/>
      <c r="M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  <c r="K617" s="41" t="n"/>
      <c r="L617" s="41" t="n"/>
      <c r="M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  <c r="K618" s="41" t="n"/>
      <c r="L618" s="41" t="n"/>
      <c r="M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  <c r="K619" s="41" t="n"/>
      <c r="L619" s="41" t="n"/>
      <c r="M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  <c r="K620" s="41" t="n"/>
      <c r="L620" s="41" t="n"/>
      <c r="M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  <c r="K621" s="41" t="n"/>
      <c r="L621" s="41" t="n"/>
      <c r="M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  <c r="K622" s="41" t="n"/>
      <c r="L622" s="41" t="n"/>
      <c r="M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  <c r="K623" s="41" t="n"/>
      <c r="L623" s="41" t="n"/>
      <c r="M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  <c r="K624" s="41" t="n"/>
      <c r="L624" s="41" t="n"/>
      <c r="M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  <c r="K625" s="41" t="n"/>
      <c r="L625" s="41" t="n"/>
      <c r="M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  <c r="K626" s="41" t="n"/>
      <c r="L626" s="41" t="n"/>
      <c r="M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  <c r="K627" s="41" t="n"/>
      <c r="L627" s="41" t="n"/>
      <c r="M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  <c r="K628" s="41" t="n"/>
      <c r="L628" s="41" t="n"/>
      <c r="M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  <c r="K629" s="41" t="n"/>
      <c r="L629" s="41" t="n"/>
      <c r="M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  <c r="K630" s="41" t="n"/>
      <c r="L630" s="41" t="n"/>
      <c r="M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  <c r="K631" s="41" t="n"/>
      <c r="L631" s="41" t="n"/>
      <c r="M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  <c r="K632" s="41" t="n"/>
      <c r="L632" s="41" t="n"/>
      <c r="M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  <c r="K633" s="41" t="n"/>
      <c r="L633" s="41" t="n"/>
      <c r="M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  <c r="K634" s="41" t="n"/>
      <c r="L634" s="41" t="n"/>
      <c r="M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  <c r="K635" s="41" t="n"/>
      <c r="L635" s="41" t="n"/>
      <c r="M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  <c r="K636" s="41" t="n"/>
      <c r="L636" s="41" t="n"/>
      <c r="M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  <c r="K637" s="41" t="n"/>
      <c r="L637" s="41" t="n"/>
      <c r="M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  <c r="K638" s="41" t="n"/>
      <c r="L638" s="41" t="n"/>
      <c r="M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  <c r="K639" s="41" t="n"/>
      <c r="L639" s="41" t="n"/>
      <c r="M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  <c r="K640" s="41" t="n"/>
      <c r="L640" s="41" t="n"/>
      <c r="M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  <c r="K641" s="41" t="n"/>
      <c r="L641" s="41" t="n"/>
      <c r="M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  <c r="K642" s="41" t="n"/>
      <c r="L642" s="41" t="n"/>
      <c r="M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  <c r="K643" s="41" t="n"/>
      <c r="L643" s="41" t="n"/>
      <c r="M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  <c r="K644" s="41" t="n"/>
      <c r="L644" s="41" t="n"/>
      <c r="M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  <c r="K645" s="41" t="n"/>
      <c r="L645" s="41" t="n"/>
      <c r="M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  <c r="K646" s="41" t="n"/>
      <c r="L646" s="41" t="n"/>
      <c r="M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  <c r="K647" s="41" t="n"/>
      <c r="L647" s="41" t="n"/>
      <c r="M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  <c r="K648" s="41" t="n"/>
      <c r="L648" s="41" t="n"/>
      <c r="M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  <c r="K649" s="41" t="n"/>
      <c r="L649" s="41" t="n"/>
      <c r="M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  <c r="K650" s="41" t="n"/>
      <c r="L650" s="41" t="n"/>
      <c r="M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  <c r="K651" s="41" t="n"/>
      <c r="L651" s="41" t="n"/>
      <c r="M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  <c r="K652" s="41" t="n"/>
      <c r="L652" s="41" t="n"/>
      <c r="M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  <c r="K653" s="41" t="n"/>
      <c r="L653" s="41" t="n"/>
      <c r="M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  <c r="K654" s="41" t="n"/>
      <c r="L654" s="41" t="n"/>
      <c r="M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  <c r="K655" s="41" t="n"/>
      <c r="L655" s="41" t="n"/>
      <c r="M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  <c r="K656" s="41" t="n"/>
      <c r="L656" s="41" t="n"/>
      <c r="M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  <c r="K657" s="41" t="n"/>
      <c r="L657" s="41" t="n"/>
      <c r="M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  <c r="K658" s="41" t="n"/>
      <c r="L658" s="41" t="n"/>
      <c r="M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  <c r="K659" s="41" t="n"/>
      <c r="L659" s="41" t="n"/>
      <c r="M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  <c r="K660" s="41" t="n"/>
      <c r="L660" s="41" t="n"/>
      <c r="M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  <c r="K661" s="41" t="n"/>
      <c r="L661" s="41" t="n"/>
      <c r="M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  <c r="K662" s="41" t="n"/>
      <c r="L662" s="41" t="n"/>
      <c r="M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  <c r="K663" s="41" t="n"/>
      <c r="L663" s="41" t="n"/>
      <c r="M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  <c r="K664" s="41" t="n"/>
      <c r="L664" s="41" t="n"/>
      <c r="M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  <c r="K665" s="41" t="n"/>
      <c r="L665" s="41" t="n"/>
      <c r="M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  <c r="K666" s="41" t="n"/>
      <c r="L666" s="41" t="n"/>
      <c r="M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  <c r="K667" s="41" t="n"/>
      <c r="L667" s="41" t="n"/>
      <c r="M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  <c r="K668" s="41" t="n"/>
      <c r="L668" s="41" t="n"/>
      <c r="M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  <c r="K669" s="41" t="n"/>
      <c r="L669" s="41" t="n"/>
      <c r="M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  <c r="K670" s="41" t="n"/>
      <c r="L670" s="41" t="n"/>
      <c r="M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  <c r="K671" s="41" t="n"/>
      <c r="L671" s="41" t="n"/>
      <c r="M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  <c r="K672" s="41" t="n"/>
      <c r="L672" s="41" t="n"/>
      <c r="M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  <c r="K673" s="41" t="n"/>
      <c r="L673" s="41" t="n"/>
      <c r="M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  <c r="K674" s="41" t="n"/>
      <c r="L674" s="41" t="n"/>
      <c r="M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  <c r="K675" s="41" t="n"/>
      <c r="L675" s="41" t="n"/>
      <c r="M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  <c r="K676" s="41" t="n"/>
      <c r="L676" s="41" t="n"/>
      <c r="M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  <c r="K677" s="41" t="n"/>
      <c r="L677" s="41" t="n"/>
      <c r="M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  <c r="K678" s="41" t="n"/>
      <c r="L678" s="41" t="n"/>
      <c r="M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  <c r="K679" s="41" t="n"/>
      <c r="L679" s="41" t="n"/>
      <c r="M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  <c r="K680" s="41" t="n"/>
      <c r="L680" s="41" t="n"/>
      <c r="M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  <c r="K681" s="41" t="n"/>
      <c r="L681" s="41" t="n"/>
      <c r="M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  <c r="K682" s="41" t="n"/>
      <c r="L682" s="41" t="n"/>
      <c r="M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  <c r="K683" s="41" t="n"/>
      <c r="L683" s="41" t="n"/>
      <c r="M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  <c r="K684" s="41" t="n"/>
      <c r="L684" s="41" t="n"/>
      <c r="M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  <c r="K685" s="41" t="n"/>
      <c r="L685" s="41" t="n"/>
      <c r="M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  <c r="K686" s="41" t="n"/>
      <c r="L686" s="41" t="n"/>
      <c r="M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  <c r="K687" s="41" t="n"/>
      <c r="L687" s="41" t="n"/>
      <c r="M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  <c r="K688" s="41" t="n"/>
      <c r="L688" s="41" t="n"/>
      <c r="M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  <c r="K689" s="41" t="n"/>
      <c r="L689" s="41" t="n"/>
      <c r="M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  <c r="K690" s="41" t="n"/>
      <c r="L690" s="41" t="n"/>
      <c r="M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  <c r="K691" s="41" t="n"/>
      <c r="L691" s="41" t="n"/>
      <c r="M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  <c r="K692" s="41" t="n"/>
      <c r="L692" s="41" t="n"/>
      <c r="M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  <c r="K693" s="41" t="n"/>
      <c r="L693" s="41" t="n"/>
      <c r="M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  <c r="K694" s="41" t="n"/>
      <c r="L694" s="41" t="n"/>
      <c r="M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  <c r="K695" s="41" t="n"/>
      <c r="L695" s="41" t="n"/>
      <c r="M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  <c r="K696" s="41" t="n"/>
      <c r="L696" s="41" t="n"/>
      <c r="M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  <c r="K697" s="41" t="n"/>
      <c r="L697" s="41" t="n"/>
      <c r="M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  <c r="K698" s="41" t="n"/>
      <c r="L698" s="41" t="n"/>
      <c r="M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  <c r="K699" s="41" t="n"/>
      <c r="L699" s="41" t="n"/>
      <c r="M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  <c r="K700" s="41" t="n"/>
      <c r="L700" s="41" t="n"/>
      <c r="M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  <c r="K701" s="41" t="n"/>
      <c r="L701" s="41" t="n"/>
      <c r="M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  <c r="K702" s="41" t="n"/>
      <c r="L702" s="41" t="n"/>
      <c r="M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  <c r="K703" s="41" t="n"/>
      <c r="L703" s="41" t="n"/>
      <c r="M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  <c r="K704" s="41" t="n"/>
      <c r="L704" s="41" t="n"/>
      <c r="M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  <c r="K705" s="41" t="n"/>
      <c r="L705" s="41" t="n"/>
      <c r="M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  <c r="K706" s="41" t="n"/>
      <c r="L706" s="41" t="n"/>
      <c r="M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  <c r="K707" s="41" t="n"/>
      <c r="L707" s="41" t="n"/>
      <c r="M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  <c r="K708" s="41" t="n"/>
      <c r="L708" s="41" t="n"/>
      <c r="M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  <c r="K709" s="41" t="n"/>
      <c r="L709" s="41" t="n"/>
      <c r="M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  <c r="K710" s="41" t="n"/>
      <c r="L710" s="41" t="n"/>
      <c r="M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  <c r="K711" s="41" t="n"/>
      <c r="L711" s="41" t="n"/>
      <c r="M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  <c r="K712" s="41" t="n"/>
      <c r="L712" s="41" t="n"/>
      <c r="M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  <c r="K713" s="41" t="n"/>
      <c r="L713" s="41" t="n"/>
      <c r="M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  <c r="K714" s="41" t="n"/>
      <c r="L714" s="41" t="n"/>
      <c r="M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  <c r="K715" s="41" t="n"/>
      <c r="L715" s="41" t="n"/>
      <c r="M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  <c r="K716" s="41" t="n"/>
      <c r="L716" s="41" t="n"/>
      <c r="M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  <c r="K717" s="41" t="n"/>
      <c r="L717" s="41" t="n"/>
      <c r="M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  <c r="K718" s="41" t="n"/>
      <c r="L718" s="41" t="n"/>
      <c r="M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  <c r="K719" s="41" t="n"/>
      <c r="L719" s="41" t="n"/>
      <c r="M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  <c r="K720" s="41" t="n"/>
      <c r="L720" s="41" t="n"/>
      <c r="M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  <c r="K721" s="41" t="n"/>
      <c r="L721" s="41" t="n"/>
      <c r="M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  <c r="K722" s="41" t="n"/>
      <c r="L722" s="41" t="n"/>
      <c r="M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  <c r="K723" s="41" t="n"/>
      <c r="L723" s="41" t="n"/>
      <c r="M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  <c r="K724" s="41" t="n"/>
      <c r="L724" s="41" t="n"/>
      <c r="M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  <c r="K725" s="41" t="n"/>
      <c r="L725" s="41" t="n"/>
      <c r="M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  <c r="K726" s="41" t="n"/>
      <c r="L726" s="41" t="n"/>
      <c r="M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  <c r="K727" s="41" t="n"/>
      <c r="L727" s="41" t="n"/>
      <c r="M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  <c r="K728" s="41" t="n"/>
      <c r="L728" s="41" t="n"/>
      <c r="M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  <c r="K729" s="41" t="n"/>
      <c r="L729" s="41" t="n"/>
      <c r="M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  <c r="K730" s="41" t="n"/>
      <c r="L730" s="41" t="n"/>
      <c r="M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  <c r="K731" s="41" t="n"/>
      <c r="L731" s="41" t="n"/>
      <c r="M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  <c r="K732" s="41" t="n"/>
      <c r="L732" s="41" t="n"/>
      <c r="M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  <c r="K733" s="41" t="n"/>
      <c r="L733" s="41" t="n"/>
      <c r="M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  <c r="K734" s="41" t="n"/>
      <c r="L734" s="41" t="n"/>
      <c r="M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  <c r="K735" s="41" t="n"/>
      <c r="L735" s="41" t="n"/>
      <c r="M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  <c r="K736" s="41" t="n"/>
      <c r="L736" s="41" t="n"/>
      <c r="M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  <c r="K737" s="41" t="n"/>
      <c r="L737" s="41" t="n"/>
      <c r="M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  <c r="K738" s="41" t="n"/>
      <c r="L738" s="41" t="n"/>
      <c r="M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  <c r="K739" s="41" t="n"/>
      <c r="L739" s="41" t="n"/>
      <c r="M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  <c r="K740" s="41" t="n"/>
      <c r="L740" s="41" t="n"/>
      <c r="M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  <c r="K741" s="41" t="n"/>
      <c r="L741" s="41" t="n"/>
      <c r="M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  <c r="K742" s="41" t="n"/>
      <c r="L742" s="41" t="n"/>
      <c r="M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  <c r="K743" s="41" t="n"/>
      <c r="L743" s="41" t="n"/>
      <c r="M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  <c r="K744" s="41" t="n"/>
      <c r="L744" s="41" t="n"/>
      <c r="M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  <c r="K745" s="41" t="n"/>
      <c r="L745" s="41" t="n"/>
      <c r="M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  <c r="K746" s="41" t="n"/>
      <c r="L746" s="41" t="n"/>
      <c r="M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  <c r="K747" s="41" t="n"/>
      <c r="L747" s="41" t="n"/>
      <c r="M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  <c r="K748" s="41" t="n"/>
      <c r="L748" s="41" t="n"/>
      <c r="M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  <c r="K749" s="41" t="n"/>
      <c r="L749" s="41" t="n"/>
      <c r="M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  <c r="K750" s="41" t="n"/>
      <c r="L750" s="41" t="n"/>
      <c r="M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  <c r="K751" s="41" t="n"/>
      <c r="L751" s="41" t="n"/>
      <c r="M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  <c r="K752" s="41" t="n"/>
      <c r="L752" s="41" t="n"/>
      <c r="M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  <c r="K753" s="41" t="n"/>
      <c r="L753" s="41" t="n"/>
      <c r="M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  <c r="K754" s="41" t="n"/>
      <c r="L754" s="41" t="n"/>
      <c r="M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  <c r="K755" s="41" t="n"/>
      <c r="L755" s="41" t="n"/>
      <c r="M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  <c r="K756" s="41" t="n"/>
      <c r="L756" s="41" t="n"/>
      <c r="M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  <c r="K757" s="41" t="n"/>
      <c r="L757" s="41" t="n"/>
      <c r="M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  <c r="K758" s="41" t="n"/>
      <c r="L758" s="41" t="n"/>
      <c r="M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  <c r="K759" s="41" t="n"/>
      <c r="L759" s="41" t="n"/>
      <c r="M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  <c r="K760" s="41" t="n"/>
      <c r="L760" s="41" t="n"/>
      <c r="M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  <c r="K761" s="41" t="n"/>
      <c r="L761" s="41" t="n"/>
      <c r="M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  <c r="K762" s="41" t="n"/>
      <c r="L762" s="41" t="n"/>
      <c r="M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  <c r="K763" s="41" t="n"/>
      <c r="L763" s="41" t="n"/>
      <c r="M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  <c r="K764" s="41" t="n"/>
      <c r="L764" s="41" t="n"/>
      <c r="M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  <c r="K765" s="41" t="n"/>
      <c r="L765" s="41" t="n"/>
      <c r="M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  <c r="K766" s="41" t="n"/>
      <c r="L766" s="41" t="n"/>
      <c r="M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  <c r="K767" s="41" t="n"/>
      <c r="L767" s="41" t="n"/>
      <c r="M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  <c r="K768" s="41" t="n"/>
      <c r="L768" s="41" t="n"/>
      <c r="M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  <c r="K769" s="41" t="n"/>
      <c r="L769" s="41" t="n"/>
      <c r="M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  <c r="K770" s="41" t="n"/>
      <c r="L770" s="41" t="n"/>
      <c r="M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  <c r="K771" s="41" t="n"/>
      <c r="L771" s="41" t="n"/>
      <c r="M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  <c r="K772" s="41" t="n"/>
      <c r="L772" s="41" t="n"/>
      <c r="M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  <c r="K773" s="41" t="n"/>
      <c r="L773" s="41" t="n"/>
      <c r="M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  <c r="K774" s="41" t="n"/>
      <c r="L774" s="41" t="n"/>
      <c r="M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  <c r="K775" s="41" t="n"/>
      <c r="L775" s="41" t="n"/>
      <c r="M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  <c r="K776" s="41" t="n"/>
      <c r="L776" s="41" t="n"/>
      <c r="M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  <c r="K777" s="41" t="n"/>
      <c r="L777" s="41" t="n"/>
      <c r="M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  <c r="K778" s="41" t="n"/>
      <c r="L778" s="41" t="n"/>
      <c r="M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  <c r="K779" s="41" t="n"/>
      <c r="L779" s="41" t="n"/>
      <c r="M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  <c r="K780" s="41" t="n"/>
      <c r="L780" s="41" t="n"/>
      <c r="M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  <c r="K781" s="41" t="n"/>
      <c r="L781" s="41" t="n"/>
      <c r="M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  <c r="K782" s="41" t="n"/>
      <c r="L782" s="41" t="n"/>
      <c r="M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  <c r="K783" s="41" t="n"/>
      <c r="L783" s="41" t="n"/>
      <c r="M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  <c r="K784" s="41" t="n"/>
      <c r="L784" s="41" t="n"/>
      <c r="M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  <c r="K785" s="41" t="n"/>
      <c r="L785" s="41" t="n"/>
      <c r="M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  <c r="K786" s="41" t="n"/>
      <c r="L786" s="41" t="n"/>
      <c r="M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  <c r="K787" s="41" t="n"/>
      <c r="L787" s="41" t="n"/>
      <c r="M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  <c r="K788" s="41" t="n"/>
      <c r="L788" s="41" t="n"/>
      <c r="M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  <c r="K789" s="41" t="n"/>
      <c r="L789" s="41" t="n"/>
      <c r="M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  <c r="K790" s="41" t="n"/>
      <c r="L790" s="41" t="n"/>
      <c r="M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  <c r="K791" s="41" t="n"/>
      <c r="L791" s="41" t="n"/>
      <c r="M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  <c r="K792" s="41" t="n"/>
      <c r="L792" s="41" t="n"/>
      <c r="M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  <c r="K793" s="41" t="n"/>
      <c r="L793" s="41" t="n"/>
      <c r="M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  <c r="K794" s="41" t="n"/>
      <c r="L794" s="41" t="n"/>
      <c r="M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  <c r="K795" s="41" t="n"/>
      <c r="L795" s="41" t="n"/>
      <c r="M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  <c r="K796" s="41" t="n"/>
      <c r="L796" s="41" t="n"/>
      <c r="M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  <c r="K797" s="41" t="n"/>
      <c r="L797" s="41" t="n"/>
      <c r="M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  <c r="K798" s="41" t="n"/>
      <c r="L798" s="41" t="n"/>
      <c r="M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  <c r="K799" s="41" t="n"/>
      <c r="L799" s="41" t="n"/>
      <c r="M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  <c r="K800" s="41" t="n"/>
      <c r="L800" s="41" t="n"/>
      <c r="M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  <c r="K801" s="41" t="n"/>
      <c r="L801" s="41" t="n"/>
      <c r="M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  <c r="K802" s="41" t="n"/>
      <c r="L802" s="41" t="n"/>
      <c r="M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  <c r="K803" s="41" t="n"/>
      <c r="L803" s="41" t="n"/>
      <c r="M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  <c r="K804" s="41" t="n"/>
      <c r="L804" s="41" t="n"/>
      <c r="M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  <c r="K805" s="41" t="n"/>
      <c r="L805" s="41" t="n"/>
      <c r="M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  <c r="K806" s="41" t="n"/>
      <c r="L806" s="41" t="n"/>
      <c r="M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  <c r="K807" s="41" t="n"/>
      <c r="L807" s="41" t="n"/>
      <c r="M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  <c r="K808" s="41" t="n"/>
      <c r="L808" s="41" t="n"/>
      <c r="M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  <c r="K809" s="41" t="n"/>
      <c r="L809" s="41" t="n"/>
      <c r="M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  <c r="K810" s="41" t="n"/>
      <c r="L810" s="41" t="n"/>
      <c r="M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  <c r="K811" s="41" t="n"/>
      <c r="L811" s="41" t="n"/>
      <c r="M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  <c r="K812" s="41" t="n"/>
      <c r="L812" s="41" t="n"/>
      <c r="M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  <c r="K813" s="41" t="n"/>
      <c r="L813" s="41" t="n"/>
      <c r="M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  <c r="K814" s="41" t="n"/>
      <c r="L814" s="41" t="n"/>
      <c r="M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  <c r="K815" s="41" t="n"/>
      <c r="L815" s="41" t="n"/>
      <c r="M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  <c r="K816" s="41" t="n"/>
      <c r="L816" s="41" t="n"/>
      <c r="M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  <c r="K817" s="41" t="n"/>
      <c r="L817" s="41" t="n"/>
      <c r="M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  <c r="K818" s="41" t="n"/>
      <c r="L818" s="41" t="n"/>
      <c r="M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  <c r="K819" s="41" t="n"/>
      <c r="L819" s="41" t="n"/>
      <c r="M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  <c r="K820" s="41" t="n"/>
      <c r="L820" s="41" t="n"/>
      <c r="M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  <c r="K821" s="41" t="n"/>
      <c r="L821" s="41" t="n"/>
      <c r="M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  <c r="K822" s="41" t="n"/>
      <c r="L822" s="41" t="n"/>
      <c r="M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  <c r="K823" s="41" t="n"/>
      <c r="L823" s="41" t="n"/>
      <c r="M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  <c r="K824" s="41" t="n"/>
      <c r="L824" s="41" t="n"/>
      <c r="M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  <c r="K825" s="41" t="n"/>
      <c r="L825" s="41" t="n"/>
      <c r="M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  <c r="K826" s="41" t="n"/>
      <c r="L826" s="41" t="n"/>
      <c r="M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  <c r="K827" s="41" t="n"/>
      <c r="L827" s="41" t="n"/>
      <c r="M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  <c r="K828" s="41" t="n"/>
      <c r="L828" s="41" t="n"/>
      <c r="M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  <c r="K829" s="41" t="n"/>
      <c r="L829" s="41" t="n"/>
      <c r="M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  <c r="K830" s="41" t="n"/>
      <c r="L830" s="41" t="n"/>
      <c r="M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  <c r="K831" s="41" t="n"/>
      <c r="L831" s="41" t="n"/>
      <c r="M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  <c r="K832" s="41" t="n"/>
      <c r="L832" s="41" t="n"/>
      <c r="M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  <c r="K833" s="41" t="n"/>
      <c r="L833" s="41" t="n"/>
      <c r="M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  <c r="K834" s="41" t="n"/>
      <c r="L834" s="41" t="n"/>
      <c r="M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  <c r="K835" s="41" t="n"/>
      <c r="L835" s="41" t="n"/>
      <c r="M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  <c r="K836" s="41" t="n"/>
      <c r="L836" s="41" t="n"/>
      <c r="M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  <c r="K837" s="41" t="n"/>
      <c r="L837" s="41" t="n"/>
      <c r="M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  <c r="K838" s="41" t="n"/>
      <c r="L838" s="41" t="n"/>
      <c r="M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  <c r="K839" s="41" t="n"/>
      <c r="L839" s="41" t="n"/>
      <c r="M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  <c r="K840" s="41" t="n"/>
      <c r="L840" s="41" t="n"/>
      <c r="M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  <c r="K841" s="41" t="n"/>
      <c r="L841" s="41" t="n"/>
      <c r="M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  <c r="K842" s="41" t="n"/>
      <c r="L842" s="41" t="n"/>
      <c r="M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  <c r="K843" s="41" t="n"/>
      <c r="L843" s="41" t="n"/>
      <c r="M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  <c r="K844" s="41" t="n"/>
      <c r="L844" s="41" t="n"/>
      <c r="M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  <c r="K845" s="41" t="n"/>
      <c r="L845" s="41" t="n"/>
      <c r="M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  <c r="K846" s="41" t="n"/>
      <c r="L846" s="41" t="n"/>
      <c r="M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  <c r="K847" s="41" t="n"/>
      <c r="L847" s="41" t="n"/>
      <c r="M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  <c r="K848" s="41" t="n"/>
      <c r="L848" s="41" t="n"/>
      <c r="M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  <c r="K849" s="41" t="n"/>
      <c r="L849" s="41" t="n"/>
      <c r="M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  <c r="K850" s="41" t="n"/>
      <c r="L850" s="41" t="n"/>
      <c r="M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  <c r="K851" s="41" t="n"/>
      <c r="L851" s="41" t="n"/>
      <c r="M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  <c r="K852" s="41" t="n"/>
      <c r="L852" s="41" t="n"/>
      <c r="M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  <c r="K853" s="41" t="n"/>
      <c r="L853" s="41" t="n"/>
      <c r="M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  <c r="K854" s="41" t="n"/>
      <c r="L854" s="41" t="n"/>
      <c r="M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  <c r="K855" s="41" t="n"/>
      <c r="L855" s="41" t="n"/>
      <c r="M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  <c r="K856" s="41" t="n"/>
      <c r="L856" s="41" t="n"/>
      <c r="M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  <c r="K857" s="41" t="n"/>
      <c r="L857" s="41" t="n"/>
      <c r="M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  <c r="K858" s="41" t="n"/>
      <c r="L858" s="41" t="n"/>
      <c r="M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  <c r="K859" s="41" t="n"/>
      <c r="L859" s="41" t="n"/>
      <c r="M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  <c r="K860" s="41" t="n"/>
      <c r="L860" s="41" t="n"/>
      <c r="M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  <c r="K861" s="41" t="n"/>
      <c r="L861" s="41" t="n"/>
      <c r="M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  <c r="K862" s="41" t="n"/>
      <c r="L862" s="41" t="n"/>
      <c r="M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  <c r="K863" s="41" t="n"/>
      <c r="L863" s="41" t="n"/>
      <c r="M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  <c r="K864" s="41" t="n"/>
      <c r="L864" s="41" t="n"/>
      <c r="M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  <c r="K865" s="41" t="n"/>
      <c r="L865" s="41" t="n"/>
      <c r="M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  <c r="K866" s="41" t="n"/>
      <c r="L866" s="41" t="n"/>
      <c r="M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  <c r="K867" s="41" t="n"/>
      <c r="L867" s="41" t="n"/>
      <c r="M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  <c r="K868" s="41" t="n"/>
      <c r="L868" s="41" t="n"/>
      <c r="M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  <c r="K869" s="41" t="n"/>
      <c r="L869" s="41" t="n"/>
      <c r="M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  <c r="K870" s="41" t="n"/>
      <c r="L870" s="41" t="n"/>
      <c r="M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  <c r="K871" s="41" t="n"/>
      <c r="L871" s="41" t="n"/>
      <c r="M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  <c r="K872" s="41" t="n"/>
      <c r="L872" s="41" t="n"/>
      <c r="M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  <c r="K873" s="41" t="n"/>
      <c r="L873" s="41" t="n"/>
      <c r="M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  <c r="K874" s="41" t="n"/>
      <c r="L874" s="41" t="n"/>
      <c r="M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  <c r="K875" s="41" t="n"/>
      <c r="L875" s="41" t="n"/>
      <c r="M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  <c r="K876" s="41" t="n"/>
      <c r="L876" s="41" t="n"/>
      <c r="M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  <c r="K877" s="41" t="n"/>
      <c r="L877" s="41" t="n"/>
      <c r="M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  <c r="K878" s="41" t="n"/>
      <c r="L878" s="41" t="n"/>
      <c r="M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  <c r="K879" s="41" t="n"/>
      <c r="L879" s="41" t="n"/>
      <c r="M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  <c r="K880" s="41" t="n"/>
      <c r="L880" s="41" t="n"/>
      <c r="M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  <c r="K881" s="41" t="n"/>
      <c r="L881" s="41" t="n"/>
      <c r="M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  <c r="K882" s="41" t="n"/>
      <c r="L882" s="41" t="n"/>
      <c r="M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  <c r="K883" s="41" t="n"/>
      <c r="L883" s="41" t="n"/>
      <c r="M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  <c r="K884" s="41" t="n"/>
      <c r="L884" s="41" t="n"/>
      <c r="M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  <c r="K885" s="41" t="n"/>
      <c r="L885" s="41" t="n"/>
      <c r="M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  <c r="K886" s="41" t="n"/>
      <c r="L886" s="41" t="n"/>
      <c r="M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  <c r="K887" s="41" t="n"/>
      <c r="L887" s="41" t="n"/>
      <c r="M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  <c r="K888" s="41" t="n"/>
      <c r="L888" s="41" t="n"/>
      <c r="M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  <c r="K889" s="41" t="n"/>
      <c r="L889" s="41" t="n"/>
      <c r="M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  <c r="K890" s="41" t="n"/>
      <c r="L890" s="41" t="n"/>
      <c r="M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  <c r="K891" s="41" t="n"/>
      <c r="L891" s="41" t="n"/>
      <c r="M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  <c r="K892" s="41" t="n"/>
      <c r="L892" s="41" t="n"/>
      <c r="M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  <c r="K893" s="41" t="n"/>
      <c r="L893" s="41" t="n"/>
      <c r="M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  <c r="K894" s="41" t="n"/>
      <c r="L894" s="41" t="n"/>
      <c r="M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  <c r="K895" s="41" t="n"/>
      <c r="L895" s="41" t="n"/>
      <c r="M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  <c r="K896" s="41" t="n"/>
      <c r="L896" s="41" t="n"/>
      <c r="M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  <c r="K897" s="41" t="n"/>
      <c r="L897" s="41" t="n"/>
      <c r="M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  <c r="K898" s="41" t="n"/>
      <c r="L898" s="41" t="n"/>
      <c r="M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  <c r="K899" s="41" t="n"/>
      <c r="L899" s="41" t="n"/>
      <c r="M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  <c r="K900" s="41" t="n"/>
      <c r="L900" s="41" t="n"/>
      <c r="M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  <c r="K901" s="41" t="n"/>
      <c r="L901" s="41" t="n"/>
      <c r="M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  <c r="K902" s="41" t="n"/>
      <c r="L902" s="41" t="n"/>
      <c r="M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  <c r="K903" s="41" t="n"/>
      <c r="L903" s="41" t="n"/>
      <c r="M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  <c r="K904" s="41" t="n"/>
      <c r="L904" s="41" t="n"/>
      <c r="M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  <c r="K905" s="41" t="n"/>
      <c r="L905" s="41" t="n"/>
      <c r="M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  <c r="K906" s="41" t="n"/>
      <c r="L906" s="41" t="n"/>
      <c r="M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  <c r="K907" s="41" t="n"/>
      <c r="L907" s="41" t="n"/>
      <c r="M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  <c r="K908" s="41" t="n"/>
      <c r="L908" s="41" t="n"/>
      <c r="M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  <c r="K909" s="41" t="n"/>
      <c r="L909" s="41" t="n"/>
      <c r="M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  <c r="K910" s="41" t="n"/>
      <c r="L910" s="41" t="n"/>
      <c r="M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  <c r="K911" s="41" t="n"/>
      <c r="L911" s="41" t="n"/>
      <c r="M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  <c r="K912" s="41" t="n"/>
      <c r="L912" s="41" t="n"/>
      <c r="M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  <c r="K913" s="41" t="n"/>
      <c r="L913" s="41" t="n"/>
      <c r="M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  <c r="K914" s="41" t="n"/>
      <c r="L914" s="41" t="n"/>
      <c r="M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  <c r="K915" s="41" t="n"/>
      <c r="L915" s="41" t="n"/>
      <c r="M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  <c r="K916" s="41" t="n"/>
      <c r="L916" s="41" t="n"/>
      <c r="M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  <c r="K917" s="41" t="n"/>
      <c r="L917" s="41" t="n"/>
      <c r="M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  <c r="K918" s="41" t="n"/>
      <c r="L918" s="41" t="n"/>
      <c r="M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  <c r="K919" s="41" t="n"/>
      <c r="L919" s="41" t="n"/>
      <c r="M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  <c r="K920" s="41" t="n"/>
      <c r="L920" s="41" t="n"/>
      <c r="M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  <c r="K921" s="41" t="n"/>
      <c r="L921" s="41" t="n"/>
      <c r="M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  <c r="K922" s="41" t="n"/>
      <c r="L922" s="41" t="n"/>
      <c r="M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  <c r="K923" s="41" t="n"/>
      <c r="L923" s="41" t="n"/>
      <c r="M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  <c r="K924" s="41" t="n"/>
      <c r="L924" s="41" t="n"/>
      <c r="M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  <c r="K925" s="41" t="n"/>
      <c r="L925" s="41" t="n"/>
      <c r="M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  <c r="K926" s="41" t="n"/>
      <c r="L926" s="41" t="n"/>
      <c r="M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  <c r="K927" s="41" t="n"/>
      <c r="L927" s="41" t="n"/>
      <c r="M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  <c r="K928" s="41" t="n"/>
      <c r="L928" s="41" t="n"/>
      <c r="M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  <c r="K929" s="41" t="n"/>
      <c r="L929" s="41" t="n"/>
      <c r="M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  <c r="K930" s="41" t="n"/>
      <c r="L930" s="41" t="n"/>
      <c r="M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  <c r="K931" s="41" t="n"/>
      <c r="L931" s="41" t="n"/>
      <c r="M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  <c r="K932" s="41" t="n"/>
      <c r="L932" s="41" t="n"/>
      <c r="M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  <c r="K933" s="41" t="n"/>
      <c r="L933" s="41" t="n"/>
      <c r="M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  <c r="K934" s="41" t="n"/>
      <c r="L934" s="41" t="n"/>
      <c r="M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  <c r="K935" s="41" t="n"/>
      <c r="L935" s="41" t="n"/>
      <c r="M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  <c r="K936" s="41" t="n"/>
      <c r="L936" s="41" t="n"/>
      <c r="M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  <c r="K937" s="41" t="n"/>
      <c r="L937" s="41" t="n"/>
      <c r="M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  <c r="K938" s="41" t="n"/>
      <c r="L938" s="41" t="n"/>
      <c r="M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  <c r="K939" s="41" t="n"/>
      <c r="L939" s="41" t="n"/>
      <c r="M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  <c r="K940" s="41" t="n"/>
      <c r="L940" s="41" t="n"/>
      <c r="M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  <c r="K941" s="41" t="n"/>
      <c r="L941" s="41" t="n"/>
      <c r="M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  <c r="K942" s="41" t="n"/>
      <c r="L942" s="41" t="n"/>
      <c r="M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  <c r="K943" s="41" t="n"/>
      <c r="L943" s="41" t="n"/>
      <c r="M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  <c r="K944" s="41" t="n"/>
      <c r="L944" s="41" t="n"/>
      <c r="M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  <c r="K945" s="41" t="n"/>
      <c r="L945" s="41" t="n"/>
      <c r="M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  <c r="K946" s="41" t="n"/>
      <c r="L946" s="41" t="n"/>
      <c r="M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  <c r="K947" s="41" t="n"/>
      <c r="L947" s="41" t="n"/>
      <c r="M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  <c r="K948" s="41" t="n"/>
      <c r="L948" s="41" t="n"/>
      <c r="M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  <c r="K949" s="41" t="n"/>
      <c r="L949" s="41" t="n"/>
      <c r="M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  <c r="K950" s="41" t="n"/>
      <c r="L950" s="41" t="n"/>
      <c r="M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  <c r="K951" s="41" t="n"/>
      <c r="L951" s="41" t="n"/>
      <c r="M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  <c r="K952" s="41" t="n"/>
      <c r="L952" s="41" t="n"/>
      <c r="M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  <c r="K953" s="41" t="n"/>
      <c r="L953" s="41" t="n"/>
      <c r="M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  <c r="K954" s="41" t="n"/>
      <c r="L954" s="41" t="n"/>
      <c r="M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  <c r="K955" s="41" t="n"/>
      <c r="L955" s="41" t="n"/>
      <c r="M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  <c r="K956" s="41" t="n"/>
      <c r="L956" s="41" t="n"/>
      <c r="M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  <c r="K957" s="41" t="n"/>
      <c r="L957" s="41" t="n"/>
      <c r="M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  <c r="K958" s="41" t="n"/>
      <c r="L958" s="41" t="n"/>
      <c r="M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  <c r="K959" s="41" t="n"/>
      <c r="L959" s="41" t="n"/>
      <c r="M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  <c r="K960" s="41" t="n"/>
      <c r="L960" s="41" t="n"/>
      <c r="M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  <c r="K961" s="41" t="n"/>
      <c r="L961" s="41" t="n"/>
      <c r="M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  <c r="K962" s="41" t="n"/>
      <c r="L962" s="41" t="n"/>
      <c r="M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  <c r="K963" s="41" t="n"/>
      <c r="L963" s="41" t="n"/>
      <c r="M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  <c r="K964" s="41" t="n"/>
      <c r="L964" s="41" t="n"/>
      <c r="M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  <c r="K965" s="41" t="n"/>
      <c r="L965" s="41" t="n"/>
      <c r="M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  <c r="K966" s="41" t="n"/>
      <c r="L966" s="41" t="n"/>
      <c r="M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  <c r="K967" s="41" t="n"/>
      <c r="L967" s="41" t="n"/>
      <c r="M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  <c r="K968" s="41" t="n"/>
      <c r="L968" s="41" t="n"/>
      <c r="M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  <c r="K969" s="41" t="n"/>
      <c r="L969" s="41" t="n"/>
      <c r="M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  <c r="K970" s="41" t="n"/>
      <c r="L970" s="41" t="n"/>
      <c r="M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  <c r="K971" s="41" t="n"/>
      <c r="L971" s="41" t="n"/>
      <c r="M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  <c r="K972" s="41" t="n"/>
      <c r="L972" s="41" t="n"/>
      <c r="M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  <c r="K973" s="41" t="n"/>
      <c r="L973" s="41" t="n"/>
      <c r="M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  <c r="K974" s="41" t="n"/>
      <c r="L974" s="41" t="n"/>
      <c r="M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  <c r="K975" s="41" t="n"/>
      <c r="L975" s="41" t="n"/>
      <c r="M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  <c r="K976" s="41" t="n"/>
      <c r="L976" s="41" t="n"/>
      <c r="M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  <c r="K977" s="41" t="n"/>
      <c r="L977" s="41" t="n"/>
      <c r="M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  <c r="K978" s="41" t="n"/>
      <c r="L978" s="41" t="n"/>
      <c r="M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  <c r="K979" s="41" t="n"/>
      <c r="L979" s="41" t="n"/>
      <c r="M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  <c r="K980" s="41" t="n"/>
      <c r="L980" s="41" t="n"/>
      <c r="M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  <c r="K981" s="41" t="n"/>
      <c r="L981" s="41" t="n"/>
      <c r="M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  <c r="K982" s="41" t="n"/>
      <c r="L982" s="41" t="n"/>
      <c r="M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  <c r="K983" s="41" t="n"/>
      <c r="L983" s="41" t="n"/>
      <c r="M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  <c r="K984" s="41" t="n"/>
      <c r="L984" s="41" t="n"/>
      <c r="M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  <c r="K985" s="41" t="n"/>
      <c r="L985" s="41" t="n"/>
      <c r="M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  <c r="K986" s="41" t="n"/>
      <c r="L986" s="41" t="n"/>
      <c r="M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  <c r="K987" s="41" t="n"/>
      <c r="L987" s="41" t="n"/>
      <c r="M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  <c r="K988" s="41" t="n"/>
      <c r="L988" s="41" t="n"/>
      <c r="M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  <c r="K989" s="41" t="n"/>
      <c r="L989" s="41" t="n"/>
      <c r="M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  <c r="K990" s="41" t="n"/>
      <c r="L990" s="41" t="n"/>
      <c r="M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  <c r="K991" s="41" t="n"/>
      <c r="L991" s="41" t="n"/>
      <c r="M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  <c r="K992" s="41" t="n"/>
      <c r="L992" s="41" t="n"/>
      <c r="M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  <c r="K993" s="41" t="n"/>
      <c r="L993" s="41" t="n"/>
      <c r="M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  <c r="K994" s="41" t="n"/>
      <c r="L994" s="41" t="n"/>
      <c r="M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  <c r="K995" s="41" t="n"/>
      <c r="L995" s="41" t="n"/>
      <c r="M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  <c r="K996" s="41" t="n"/>
      <c r="L996" s="41" t="n"/>
      <c r="M996" s="41" t="n"/>
    </row>
    <row r="997" ht="15.75" customHeight="1" s="119"/>
    <row r="998" ht="15.75" customHeight="1" s="119"/>
    <row r="999" ht="15.75" customHeight="1" s="119"/>
    <row r="1000" ht="15.75" customHeight="1" s="119"/>
  </sheetData>
  <autoFilter ref="A4:M55"/>
  <mergeCells count="2">
    <mergeCell ref="A2:M2"/>
    <mergeCell ref="A1:M1"/>
  </mergeCells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DAIC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0.718</v>
      </c>
      <c r="C5" s="118" t="n">
        <v>0.8</v>
      </c>
      <c r="D5" s="117" t="n">
        <v>0.666667</v>
      </c>
      <c r="E5" s="117" t="n"/>
      <c r="F5" s="41" t="n"/>
    </row>
    <row r="6">
      <c r="A6" s="116" t="inlineStr">
        <is>
          <t>Audio only</t>
        </is>
      </c>
      <c r="B6" s="117" t="n">
        <v>0.595</v>
      </c>
      <c r="C6" s="117" t="n">
        <v>0.628571</v>
      </c>
      <c r="D6" s="118" t="n">
        <v>0.648649</v>
      </c>
      <c r="E6" s="117" t="n"/>
      <c r="F6" s="41" t="n"/>
    </row>
    <row r="7">
      <c r="A7" s="116" t="inlineStr">
        <is>
          <t>Text only</t>
        </is>
      </c>
      <c r="B7" s="117" t="n">
        <v>0.6919999999999999</v>
      </c>
      <c r="C7" s="118" t="n">
        <v>0.740741</v>
      </c>
      <c r="D7" s="118" t="n">
        <v>0.740741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CMDC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0.896</v>
      </c>
      <c r="C5" s="118" t="n">
        <v>0.980392</v>
      </c>
      <c r="D5" s="118" t="n">
        <v>0.980392</v>
      </c>
      <c r="E5" s="117" t="n"/>
      <c r="F5" s="41" t="n"/>
    </row>
    <row r="6">
      <c r="A6" s="116" t="inlineStr">
        <is>
          <t>Audio only</t>
        </is>
      </c>
      <c r="B6" s="117" t="n">
        <v>0.918</v>
      </c>
      <c r="C6" s="118" t="n">
        <v>0.980392</v>
      </c>
      <c r="D6" s="118" t="n">
        <v>0.980392</v>
      </c>
      <c r="E6" s="117" t="n"/>
      <c r="F6" s="41" t="n"/>
    </row>
    <row r="7">
      <c r="A7" s="116" t="inlineStr">
        <is>
          <t>Text only</t>
        </is>
      </c>
      <c r="B7" s="117" t="n">
        <v>0.904</v>
      </c>
      <c r="C7" s="118" t="n">
        <v>0.980392</v>
      </c>
      <c r="D7" s="117" t="n">
        <v>0.961538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style="119" min="1" max="1"/>
    <col width="10" customWidth="1" style="119" min="2" max="2"/>
    <col width="23" customWidth="1" style="119" min="4" max="4"/>
    <col width="11" customWidth="1" style="119" min="5" max="5"/>
    <col width="3" customWidth="1" style="119" min="6" max="6"/>
    <col width="8.710000000000001" customWidth="1" style="119" min="7" max="7"/>
  </cols>
  <sheetData>
    <row r="1" ht="24" customHeight="1" s="119">
      <c r="A1" s="113" t="inlineStr">
        <is>
          <t>Androids Interview Positive F1 Comparison</t>
        </is>
      </c>
    </row>
    <row r="2" ht="21.75" customHeight="1" s="119">
      <c r="A2" s="114" t="inlineStr">
        <is>
          <t>Androids score outputs; no hidden-state classifier-head comparison was run.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only</t>
        </is>
      </c>
      <c r="B5" s="117" t="n">
        <v>0.9076923076923077</v>
      </c>
      <c r="C5" s="117" t="n"/>
      <c r="D5" s="117" t="n"/>
      <c r="E5" s="117" t="n"/>
      <c r="F5" s="41" t="n"/>
    </row>
    <row r="6">
      <c r="A6" s="116" t="inlineStr">
        <is>
          <t>Audio + Text</t>
        </is>
      </c>
      <c r="B6" s="117" t="n">
        <v>0.8571428571428571</v>
      </c>
      <c r="C6" s="117" t="n"/>
      <c r="D6" s="117" t="n"/>
      <c r="E6" s="117" t="n"/>
      <c r="F6" s="41" t="n"/>
    </row>
    <row r="7">
      <c r="A7" s="116" t="inlineStr">
        <is>
          <t>Text only</t>
        </is>
      </c>
      <c r="B7" s="117" t="n">
        <v>0.8818897637795274</v>
      </c>
      <c r="C7" s="117" t="n"/>
      <c r="D7" s="117" t="n"/>
      <c r="E7" s="41" t="n"/>
      <c r="F7" s="41" t="n"/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2026-07-23T08:24:16Z</dcterms:created>
  <dcterms:modified xmlns:dcterms="http://purl.org/dc/terms/" xmlns:xsi="http://www.w3.org/2001/XMLSchema-instance" xsi:type="dcterms:W3CDTF">2026-07-31T13:10:07Z</dcterms:modified>
</cp:coreProperties>
</file>